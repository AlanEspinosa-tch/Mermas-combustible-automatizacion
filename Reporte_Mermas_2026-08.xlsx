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eci\Downloads\"/>
    </mc:Choice>
  </mc:AlternateContent>
  <xr:revisionPtr revIDLastSave="0" documentId="13_ncr:1_{FCF45A08-6715-4471-B9B1-C1A053948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Mermas mensual" sheetId="2" r:id="rId2"/>
    <sheet name="Compras sin pipa" sheetId="3" r:id="rId3"/>
    <sheet name="Detalle diario" sheetId="4" r:id="rId4"/>
    <sheet name="Conciliación pipas" sheetId="5" r:id="rId5"/>
    <sheet name="Detalle pipas" sheetId="6" r:id="rId6"/>
    <sheet name="Registros manuales" sheetId="7" r:id="rId7"/>
    <sheet name="Notas" sheetId="9" r:id="rId8"/>
    <sheet name="Parámetros" sheetId="8" r:id="rId9"/>
  </sheets>
  <definedNames>
    <definedName name="_xlnm._FilterDatabase" localSheetId="4" hidden="1">'Conciliación pipas'!$A$4:$K$40</definedName>
    <definedName name="_xlnm._FilterDatabase" localSheetId="3" hidden="1">'Detalle diario'!$A$4:$L$550</definedName>
    <definedName name="_xlnm._FilterDatabase" localSheetId="5" hidden="1">'Detalle pipas'!$A$4:$N$281</definedName>
    <definedName name="_xlnm._FilterDatabase" localSheetId="1" hidden="1">'Mermas mensual'!$A$4:$P$23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7" l="1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L69" i="6"/>
  <c r="K69" i="6"/>
  <c r="I69" i="6"/>
  <c r="J69" i="6" s="1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J40" i="5"/>
  <c r="I40" i="5"/>
  <c r="H40" i="5"/>
  <c r="E40" i="5"/>
  <c r="D40" i="5"/>
  <c r="J39" i="5"/>
  <c r="I39" i="5"/>
  <c r="H39" i="5"/>
  <c r="E39" i="5"/>
  <c r="D39" i="5"/>
  <c r="J38" i="5"/>
  <c r="I38" i="5"/>
  <c r="H38" i="5"/>
  <c r="I23" i="1" s="1"/>
  <c r="E38" i="5"/>
  <c r="D38" i="5"/>
  <c r="J37" i="5"/>
  <c r="I37" i="5"/>
  <c r="H37" i="5"/>
  <c r="G37" i="5"/>
  <c r="K37" i="5" s="1"/>
  <c r="F37" i="5"/>
  <c r="E37" i="5"/>
  <c r="D37" i="5"/>
  <c r="J36" i="5"/>
  <c r="I36" i="5"/>
  <c r="H36" i="5"/>
  <c r="G36" i="5"/>
  <c r="K36" i="5" s="1"/>
  <c r="F36" i="5"/>
  <c r="E36" i="5"/>
  <c r="D36" i="5"/>
  <c r="J35" i="5"/>
  <c r="I35" i="5"/>
  <c r="H35" i="5"/>
  <c r="I22" i="1" s="1"/>
  <c r="G35" i="5"/>
  <c r="F35" i="5"/>
  <c r="E35" i="5"/>
  <c r="D35" i="5"/>
  <c r="J34" i="5"/>
  <c r="I34" i="5"/>
  <c r="H34" i="5"/>
  <c r="G34" i="5"/>
  <c r="K34" i="5" s="1"/>
  <c r="F34" i="5"/>
  <c r="E34" i="5"/>
  <c r="D34" i="5"/>
  <c r="J33" i="5"/>
  <c r="I33" i="5"/>
  <c r="H33" i="5"/>
  <c r="G33" i="5"/>
  <c r="K33" i="5" s="1"/>
  <c r="F33" i="5"/>
  <c r="E33" i="5"/>
  <c r="D33" i="5"/>
  <c r="J32" i="5"/>
  <c r="I32" i="5"/>
  <c r="H32" i="5"/>
  <c r="I21" i="1" s="1"/>
  <c r="G32" i="5"/>
  <c r="F32" i="5"/>
  <c r="E32" i="5"/>
  <c r="D32" i="5"/>
  <c r="J31" i="5"/>
  <c r="I31" i="5"/>
  <c r="H31" i="5"/>
  <c r="E31" i="5"/>
  <c r="D31" i="5"/>
  <c r="J30" i="5"/>
  <c r="I30" i="5"/>
  <c r="H30" i="5"/>
  <c r="E30" i="5"/>
  <c r="D30" i="5"/>
  <c r="J29" i="5"/>
  <c r="I29" i="5"/>
  <c r="H29" i="5"/>
  <c r="I20" i="1" s="1"/>
  <c r="E29" i="5"/>
  <c r="D29" i="5"/>
  <c r="J28" i="5"/>
  <c r="I28" i="5"/>
  <c r="H28" i="5"/>
  <c r="E28" i="5"/>
  <c r="D28" i="5"/>
  <c r="J27" i="5"/>
  <c r="I27" i="5"/>
  <c r="H27" i="5"/>
  <c r="E27" i="5"/>
  <c r="D27" i="5"/>
  <c r="J26" i="5"/>
  <c r="I26" i="5"/>
  <c r="H26" i="5"/>
  <c r="I19" i="1" s="1"/>
  <c r="E26" i="5"/>
  <c r="D26" i="5"/>
  <c r="J25" i="5"/>
  <c r="I25" i="5"/>
  <c r="H25" i="5"/>
  <c r="E25" i="5"/>
  <c r="D25" i="5"/>
  <c r="J24" i="5"/>
  <c r="I24" i="5"/>
  <c r="H24" i="5"/>
  <c r="E24" i="5"/>
  <c r="D24" i="5"/>
  <c r="J23" i="5"/>
  <c r="I23" i="5"/>
  <c r="H23" i="5"/>
  <c r="I18" i="1" s="1"/>
  <c r="E23" i="5"/>
  <c r="D23" i="5"/>
  <c r="J22" i="5"/>
  <c r="I22" i="5"/>
  <c r="H22" i="5"/>
  <c r="E22" i="5"/>
  <c r="D22" i="5"/>
  <c r="J21" i="5"/>
  <c r="I21" i="5"/>
  <c r="H21" i="5"/>
  <c r="E21" i="5"/>
  <c r="D21" i="5"/>
  <c r="J20" i="5"/>
  <c r="I20" i="5"/>
  <c r="H20" i="5"/>
  <c r="I17" i="1" s="1"/>
  <c r="E20" i="5"/>
  <c r="D20" i="5"/>
  <c r="J19" i="5"/>
  <c r="I19" i="5"/>
  <c r="H19" i="5"/>
  <c r="G19" i="5"/>
  <c r="K19" i="5" s="1"/>
  <c r="F19" i="5"/>
  <c r="E19" i="5"/>
  <c r="D19" i="5"/>
  <c r="J18" i="5"/>
  <c r="I18" i="5"/>
  <c r="H18" i="5"/>
  <c r="G18" i="5"/>
  <c r="K18" i="5" s="1"/>
  <c r="F18" i="5"/>
  <c r="E18" i="5"/>
  <c r="D18" i="5"/>
  <c r="J17" i="5"/>
  <c r="I17" i="5"/>
  <c r="H17" i="5"/>
  <c r="I16" i="1" s="1"/>
  <c r="G17" i="5"/>
  <c r="F17" i="5"/>
  <c r="E17" i="5"/>
  <c r="D17" i="5"/>
  <c r="J16" i="5"/>
  <c r="I16" i="5"/>
  <c r="H16" i="5"/>
  <c r="E16" i="5"/>
  <c r="D16" i="5"/>
  <c r="J15" i="5"/>
  <c r="I15" i="5"/>
  <c r="H15" i="5"/>
  <c r="E15" i="5"/>
  <c r="D15" i="5"/>
  <c r="J14" i="5"/>
  <c r="I14" i="5"/>
  <c r="H14" i="5"/>
  <c r="I15" i="1" s="1"/>
  <c r="E14" i="5"/>
  <c r="D14" i="5"/>
  <c r="J13" i="5"/>
  <c r="I13" i="5"/>
  <c r="H13" i="5"/>
  <c r="G13" i="5"/>
  <c r="K13" i="5" s="1"/>
  <c r="F13" i="5"/>
  <c r="E13" i="5"/>
  <c r="D13" i="5"/>
  <c r="J12" i="5"/>
  <c r="I12" i="5"/>
  <c r="H12" i="5"/>
  <c r="G12" i="5"/>
  <c r="F12" i="5"/>
  <c r="E12" i="5"/>
  <c r="D12" i="5"/>
  <c r="J11" i="5"/>
  <c r="I11" i="5"/>
  <c r="H11" i="5"/>
  <c r="G11" i="5"/>
  <c r="K11" i="5" s="1"/>
  <c r="F11" i="5"/>
  <c r="E11" i="5"/>
  <c r="D11" i="5"/>
  <c r="J10" i="5"/>
  <c r="I10" i="5"/>
  <c r="H10" i="5"/>
  <c r="G10" i="5"/>
  <c r="K10" i="5" s="1"/>
  <c r="F10" i="5"/>
  <c r="E10" i="5"/>
  <c r="D10" i="5"/>
  <c r="J9" i="5"/>
  <c r="I9" i="5"/>
  <c r="H9" i="5"/>
  <c r="G9" i="5"/>
  <c r="K9" i="5" s="1"/>
  <c r="F9" i="5"/>
  <c r="E9" i="5"/>
  <c r="D9" i="5"/>
  <c r="J8" i="5"/>
  <c r="I8" i="5"/>
  <c r="H8" i="5"/>
  <c r="I13" i="1" s="1"/>
  <c r="G8" i="5"/>
  <c r="F8" i="5"/>
  <c r="E8" i="5"/>
  <c r="D8" i="5"/>
  <c r="J7" i="5"/>
  <c r="I7" i="5"/>
  <c r="H7" i="5"/>
  <c r="G7" i="5"/>
  <c r="K7" i="5" s="1"/>
  <c r="F7" i="5"/>
  <c r="E7" i="5"/>
  <c r="D7" i="5"/>
  <c r="J6" i="5"/>
  <c r="I6" i="5"/>
  <c r="H6" i="5"/>
  <c r="G6" i="5"/>
  <c r="K6" i="5" s="1"/>
  <c r="F6" i="5"/>
  <c r="E6" i="5"/>
  <c r="D6" i="5"/>
  <c r="J5" i="5"/>
  <c r="I5" i="5"/>
  <c r="H5" i="5"/>
  <c r="G5" i="5"/>
  <c r="F5" i="5"/>
  <c r="E5" i="5"/>
  <c r="D5" i="5"/>
  <c r="L550" i="4"/>
  <c r="H550" i="4"/>
  <c r="J550" i="4" s="1"/>
  <c r="K550" i="4" s="1"/>
  <c r="L549" i="4"/>
  <c r="H549" i="4"/>
  <c r="J549" i="4" s="1"/>
  <c r="K549" i="4" s="1"/>
  <c r="L548" i="4"/>
  <c r="H548" i="4"/>
  <c r="J548" i="4" s="1"/>
  <c r="K548" i="4" s="1"/>
  <c r="L547" i="4"/>
  <c r="H547" i="4"/>
  <c r="J547" i="4" s="1"/>
  <c r="K547" i="4" s="1"/>
  <c r="L546" i="4"/>
  <c r="H546" i="4"/>
  <c r="J546" i="4" s="1"/>
  <c r="K546" i="4" s="1"/>
  <c r="L545" i="4"/>
  <c r="H545" i="4"/>
  <c r="J545" i="4" s="1"/>
  <c r="K545" i="4" s="1"/>
  <c r="L544" i="4"/>
  <c r="H544" i="4"/>
  <c r="J544" i="4" s="1"/>
  <c r="K544" i="4" s="1"/>
  <c r="L543" i="4"/>
  <c r="H543" i="4"/>
  <c r="J543" i="4" s="1"/>
  <c r="K543" i="4" s="1"/>
  <c r="L542" i="4"/>
  <c r="H542" i="4"/>
  <c r="J542" i="4" s="1"/>
  <c r="K542" i="4" s="1"/>
  <c r="L541" i="4"/>
  <c r="H541" i="4"/>
  <c r="J541" i="4" s="1"/>
  <c r="K541" i="4" s="1"/>
  <c r="L540" i="4"/>
  <c r="H540" i="4"/>
  <c r="J540" i="4" s="1"/>
  <c r="K540" i="4" s="1"/>
  <c r="L539" i="4"/>
  <c r="H539" i="4"/>
  <c r="J539" i="4" s="1"/>
  <c r="K539" i="4" s="1"/>
  <c r="L538" i="4"/>
  <c r="H538" i="4"/>
  <c r="J538" i="4" s="1"/>
  <c r="K538" i="4" s="1"/>
  <c r="L537" i="4"/>
  <c r="H537" i="4"/>
  <c r="J537" i="4" s="1"/>
  <c r="K537" i="4" s="1"/>
  <c r="L536" i="4"/>
  <c r="H536" i="4"/>
  <c r="J536" i="4" s="1"/>
  <c r="K536" i="4" s="1"/>
  <c r="L535" i="4"/>
  <c r="H535" i="4"/>
  <c r="J535" i="4" s="1"/>
  <c r="K535" i="4" s="1"/>
  <c r="L534" i="4"/>
  <c r="H534" i="4"/>
  <c r="J534" i="4" s="1"/>
  <c r="K534" i="4" s="1"/>
  <c r="L533" i="4"/>
  <c r="H533" i="4"/>
  <c r="J533" i="4" s="1"/>
  <c r="K533" i="4" s="1"/>
  <c r="L532" i="4"/>
  <c r="H532" i="4"/>
  <c r="J532" i="4" s="1"/>
  <c r="K532" i="4" s="1"/>
  <c r="L531" i="4"/>
  <c r="H531" i="4"/>
  <c r="J531" i="4" s="1"/>
  <c r="K531" i="4" s="1"/>
  <c r="L530" i="4"/>
  <c r="H530" i="4"/>
  <c r="J530" i="4" s="1"/>
  <c r="K530" i="4" s="1"/>
  <c r="L529" i="4"/>
  <c r="H529" i="4"/>
  <c r="J529" i="4" s="1"/>
  <c r="K529" i="4" s="1"/>
  <c r="L528" i="4"/>
  <c r="H528" i="4"/>
  <c r="J528" i="4" s="1"/>
  <c r="K528" i="4" s="1"/>
  <c r="L527" i="4"/>
  <c r="H527" i="4"/>
  <c r="J527" i="4" s="1"/>
  <c r="K527" i="4" s="1"/>
  <c r="L526" i="4"/>
  <c r="H526" i="4"/>
  <c r="J526" i="4" s="1"/>
  <c r="K526" i="4" s="1"/>
  <c r="L525" i="4"/>
  <c r="H525" i="4" s="1"/>
  <c r="J525" i="4" s="1"/>
  <c r="K525" i="4" s="1"/>
  <c r="L524" i="4"/>
  <c r="H524" i="4" s="1"/>
  <c r="J524" i="4" s="1"/>
  <c r="K524" i="4" s="1"/>
  <c r="L523" i="4"/>
  <c r="H523" i="4" s="1"/>
  <c r="J523" i="4" s="1"/>
  <c r="K523" i="4" s="1"/>
  <c r="L522" i="4"/>
  <c r="H522" i="4" s="1"/>
  <c r="J522" i="4" s="1"/>
  <c r="K522" i="4" s="1"/>
  <c r="L521" i="4"/>
  <c r="H521" i="4" s="1"/>
  <c r="J521" i="4" s="1"/>
  <c r="K521" i="4" s="1"/>
  <c r="L520" i="4"/>
  <c r="H520" i="4" s="1"/>
  <c r="J520" i="4" s="1"/>
  <c r="K520" i="4" s="1"/>
  <c r="L519" i="4"/>
  <c r="H519" i="4" s="1"/>
  <c r="J519" i="4" s="1"/>
  <c r="K519" i="4" s="1"/>
  <c r="L518" i="4"/>
  <c r="H518" i="4" s="1"/>
  <c r="J518" i="4" s="1"/>
  <c r="K518" i="4" s="1"/>
  <c r="L517" i="4"/>
  <c r="H517" i="4" s="1"/>
  <c r="J517" i="4" s="1"/>
  <c r="K517" i="4" s="1"/>
  <c r="L516" i="4"/>
  <c r="H516" i="4" s="1"/>
  <c r="J516" i="4" s="1"/>
  <c r="K516" i="4" s="1"/>
  <c r="L515" i="4"/>
  <c r="H515" i="4" s="1"/>
  <c r="J515" i="4" s="1"/>
  <c r="K515" i="4" s="1"/>
  <c r="L514" i="4"/>
  <c r="H514" i="4" s="1"/>
  <c r="J514" i="4" s="1"/>
  <c r="K514" i="4" s="1"/>
  <c r="L513" i="4"/>
  <c r="H513" i="4" s="1"/>
  <c r="J513" i="4" s="1"/>
  <c r="K513" i="4" s="1"/>
  <c r="L512" i="4"/>
  <c r="H512" i="4" s="1"/>
  <c r="J512" i="4" s="1"/>
  <c r="K512" i="4" s="1"/>
  <c r="L511" i="4"/>
  <c r="H511" i="4" s="1"/>
  <c r="J511" i="4" s="1"/>
  <c r="K511" i="4" s="1"/>
  <c r="L510" i="4"/>
  <c r="H510" i="4" s="1"/>
  <c r="J510" i="4" s="1"/>
  <c r="K510" i="4" s="1"/>
  <c r="L509" i="4"/>
  <c r="H509" i="4" s="1"/>
  <c r="J509" i="4" s="1"/>
  <c r="K509" i="4" s="1"/>
  <c r="L508" i="4"/>
  <c r="H508" i="4" s="1"/>
  <c r="J508" i="4" s="1"/>
  <c r="K508" i="4" s="1"/>
  <c r="L507" i="4"/>
  <c r="H507" i="4" s="1"/>
  <c r="J507" i="4" s="1"/>
  <c r="K507" i="4" s="1"/>
  <c r="L506" i="4"/>
  <c r="H506" i="4" s="1"/>
  <c r="J506" i="4" s="1"/>
  <c r="K506" i="4" s="1"/>
  <c r="L505" i="4"/>
  <c r="H505" i="4" s="1"/>
  <c r="J505" i="4" s="1"/>
  <c r="K505" i="4" s="1"/>
  <c r="L504" i="4"/>
  <c r="H504" i="4" s="1"/>
  <c r="J504" i="4" s="1"/>
  <c r="K504" i="4" s="1"/>
  <c r="L503" i="4"/>
  <c r="H503" i="4" s="1"/>
  <c r="J503" i="4" s="1"/>
  <c r="K503" i="4" s="1"/>
  <c r="L502" i="4"/>
  <c r="H502" i="4" s="1"/>
  <c r="J502" i="4" s="1"/>
  <c r="K502" i="4" s="1"/>
  <c r="L501" i="4"/>
  <c r="H501" i="4" s="1"/>
  <c r="J501" i="4" s="1"/>
  <c r="K501" i="4" s="1"/>
  <c r="L500" i="4"/>
  <c r="H500" i="4" s="1"/>
  <c r="J500" i="4" s="1"/>
  <c r="K500" i="4" s="1"/>
  <c r="L499" i="4"/>
  <c r="H499" i="4" s="1"/>
  <c r="J499" i="4" s="1"/>
  <c r="K499" i="4" s="1"/>
  <c r="L498" i="4"/>
  <c r="H498" i="4" s="1"/>
  <c r="J498" i="4" s="1"/>
  <c r="K498" i="4" s="1"/>
  <c r="L497" i="4"/>
  <c r="H497" i="4" s="1"/>
  <c r="J497" i="4" s="1"/>
  <c r="K497" i="4" s="1"/>
  <c r="L496" i="4"/>
  <c r="H496" i="4" s="1"/>
  <c r="J496" i="4" s="1"/>
  <c r="K496" i="4" s="1"/>
  <c r="L495" i="4"/>
  <c r="H495" i="4" s="1"/>
  <c r="J495" i="4" s="1"/>
  <c r="K495" i="4" s="1"/>
  <c r="L494" i="4"/>
  <c r="H494" i="4" s="1"/>
  <c r="J494" i="4" s="1"/>
  <c r="K494" i="4" s="1"/>
  <c r="L493" i="4"/>
  <c r="H493" i="4" s="1"/>
  <c r="J493" i="4" s="1"/>
  <c r="K493" i="4" s="1"/>
  <c r="L492" i="4"/>
  <c r="H492" i="4" s="1"/>
  <c r="J492" i="4" s="1"/>
  <c r="K492" i="4" s="1"/>
  <c r="L491" i="4"/>
  <c r="H491" i="4" s="1"/>
  <c r="J491" i="4" s="1"/>
  <c r="K491" i="4" s="1"/>
  <c r="L490" i="4"/>
  <c r="H490" i="4" s="1"/>
  <c r="J490" i="4" s="1"/>
  <c r="K490" i="4" s="1"/>
  <c r="L489" i="4"/>
  <c r="H489" i="4" s="1"/>
  <c r="J489" i="4" s="1"/>
  <c r="K489" i="4" s="1"/>
  <c r="L488" i="4"/>
  <c r="H488" i="4" s="1"/>
  <c r="J488" i="4" s="1"/>
  <c r="K488" i="4" s="1"/>
  <c r="L487" i="4"/>
  <c r="H487" i="4" s="1"/>
  <c r="J487" i="4" s="1"/>
  <c r="K487" i="4" s="1"/>
  <c r="L486" i="4"/>
  <c r="H486" i="4" s="1"/>
  <c r="J486" i="4" s="1"/>
  <c r="K486" i="4" s="1"/>
  <c r="L485" i="4"/>
  <c r="H485" i="4" s="1"/>
  <c r="J485" i="4" s="1"/>
  <c r="K485" i="4" s="1"/>
  <c r="L484" i="4"/>
  <c r="H484" i="4" s="1"/>
  <c r="J484" i="4" s="1"/>
  <c r="K484" i="4" s="1"/>
  <c r="L483" i="4"/>
  <c r="H483" i="4" s="1"/>
  <c r="J483" i="4" s="1"/>
  <c r="K483" i="4" s="1"/>
  <c r="L482" i="4"/>
  <c r="H482" i="4" s="1"/>
  <c r="J482" i="4" s="1"/>
  <c r="K482" i="4" s="1"/>
  <c r="L481" i="4"/>
  <c r="H481" i="4" s="1"/>
  <c r="J481" i="4" s="1"/>
  <c r="K481" i="4" s="1"/>
  <c r="L480" i="4"/>
  <c r="H480" i="4" s="1"/>
  <c r="J480" i="4" s="1"/>
  <c r="K480" i="4" s="1"/>
  <c r="L479" i="4"/>
  <c r="H479" i="4" s="1"/>
  <c r="J479" i="4" s="1"/>
  <c r="K479" i="4" s="1"/>
  <c r="L478" i="4"/>
  <c r="H478" i="4" s="1"/>
  <c r="J478" i="4" s="1"/>
  <c r="K478" i="4" s="1"/>
  <c r="L477" i="4"/>
  <c r="H477" i="4" s="1"/>
  <c r="J477" i="4" s="1"/>
  <c r="K477" i="4" s="1"/>
  <c r="L476" i="4"/>
  <c r="H476" i="4" s="1"/>
  <c r="J476" i="4" s="1"/>
  <c r="K476" i="4" s="1"/>
  <c r="L475" i="4"/>
  <c r="H475" i="4" s="1"/>
  <c r="J475" i="4" s="1"/>
  <c r="K475" i="4" s="1"/>
  <c r="L474" i="4"/>
  <c r="H474" i="4" s="1"/>
  <c r="J474" i="4" s="1"/>
  <c r="K474" i="4" s="1"/>
  <c r="L473" i="4"/>
  <c r="H473" i="4" s="1"/>
  <c r="J473" i="4" s="1"/>
  <c r="K473" i="4" s="1"/>
  <c r="L472" i="4"/>
  <c r="H472" i="4" s="1"/>
  <c r="J472" i="4" s="1"/>
  <c r="K472" i="4" s="1"/>
  <c r="L471" i="4"/>
  <c r="H471" i="4" s="1"/>
  <c r="J471" i="4" s="1"/>
  <c r="K471" i="4" s="1"/>
  <c r="L470" i="4"/>
  <c r="H470" i="4" s="1"/>
  <c r="J470" i="4" s="1"/>
  <c r="K470" i="4" s="1"/>
  <c r="L469" i="4"/>
  <c r="H469" i="4" s="1"/>
  <c r="J469" i="4" s="1"/>
  <c r="K469" i="4" s="1"/>
  <c r="L468" i="4"/>
  <c r="H468" i="4" s="1"/>
  <c r="J468" i="4" s="1"/>
  <c r="K468" i="4" s="1"/>
  <c r="L467" i="4"/>
  <c r="H467" i="4" s="1"/>
  <c r="J467" i="4" s="1"/>
  <c r="K467" i="4" s="1"/>
  <c r="L466" i="4"/>
  <c r="H466" i="4" s="1"/>
  <c r="J466" i="4" s="1"/>
  <c r="K466" i="4" s="1"/>
  <c r="L465" i="4"/>
  <c r="H465" i="4" s="1"/>
  <c r="J465" i="4" s="1"/>
  <c r="K465" i="4" s="1"/>
  <c r="L464" i="4"/>
  <c r="H464" i="4" s="1"/>
  <c r="J464" i="4" s="1"/>
  <c r="K464" i="4" s="1"/>
  <c r="L463" i="4"/>
  <c r="H463" i="4" s="1"/>
  <c r="J463" i="4" s="1"/>
  <c r="K463" i="4" s="1"/>
  <c r="L462" i="4"/>
  <c r="H462" i="4" s="1"/>
  <c r="J462" i="4" s="1"/>
  <c r="K462" i="4" s="1"/>
  <c r="L461" i="4"/>
  <c r="H461" i="4" s="1"/>
  <c r="J461" i="4" s="1"/>
  <c r="K461" i="4" s="1"/>
  <c r="L460" i="4"/>
  <c r="H460" i="4" s="1"/>
  <c r="J460" i="4" s="1"/>
  <c r="K460" i="4" s="1"/>
  <c r="L459" i="4"/>
  <c r="H459" i="4" s="1"/>
  <c r="J459" i="4" s="1"/>
  <c r="K459" i="4" s="1"/>
  <c r="L458" i="4"/>
  <c r="H458" i="4" s="1"/>
  <c r="J458" i="4" s="1"/>
  <c r="K458" i="4" s="1"/>
  <c r="L457" i="4"/>
  <c r="H457" i="4" s="1"/>
  <c r="J457" i="4" s="1"/>
  <c r="K457" i="4" s="1"/>
  <c r="L456" i="4"/>
  <c r="H456" i="4" s="1"/>
  <c r="J456" i="4" s="1"/>
  <c r="K456" i="4" s="1"/>
  <c r="L455" i="4"/>
  <c r="H455" i="4" s="1"/>
  <c r="J455" i="4" s="1"/>
  <c r="K455" i="4" s="1"/>
  <c r="L454" i="4"/>
  <c r="H454" i="4" s="1"/>
  <c r="J454" i="4" s="1"/>
  <c r="K454" i="4" s="1"/>
  <c r="L453" i="4"/>
  <c r="H453" i="4" s="1"/>
  <c r="J453" i="4" s="1"/>
  <c r="K453" i="4" s="1"/>
  <c r="L452" i="4"/>
  <c r="H452" i="4" s="1"/>
  <c r="J452" i="4" s="1"/>
  <c r="K452" i="4" s="1"/>
  <c r="L451" i="4"/>
  <c r="H451" i="4" s="1"/>
  <c r="J451" i="4" s="1"/>
  <c r="K451" i="4" s="1"/>
  <c r="L450" i="4"/>
  <c r="H450" i="4" s="1"/>
  <c r="J450" i="4" s="1"/>
  <c r="K450" i="4" s="1"/>
  <c r="L449" i="4"/>
  <c r="H449" i="4" s="1"/>
  <c r="J449" i="4" s="1"/>
  <c r="K449" i="4" s="1"/>
  <c r="L448" i="4"/>
  <c r="H448" i="4" s="1"/>
  <c r="J448" i="4" s="1"/>
  <c r="K448" i="4" s="1"/>
  <c r="L447" i="4"/>
  <c r="H447" i="4" s="1"/>
  <c r="J447" i="4" s="1"/>
  <c r="K447" i="4" s="1"/>
  <c r="L446" i="4"/>
  <c r="H446" i="4" s="1"/>
  <c r="J446" i="4" s="1"/>
  <c r="K446" i="4" s="1"/>
  <c r="L445" i="4"/>
  <c r="H445" i="4" s="1"/>
  <c r="J445" i="4" s="1"/>
  <c r="K445" i="4" s="1"/>
  <c r="L444" i="4"/>
  <c r="H444" i="4" s="1"/>
  <c r="J444" i="4" s="1"/>
  <c r="K444" i="4" s="1"/>
  <c r="L443" i="4"/>
  <c r="H443" i="4" s="1"/>
  <c r="J443" i="4" s="1"/>
  <c r="K443" i="4" s="1"/>
  <c r="L442" i="4"/>
  <c r="H442" i="4" s="1"/>
  <c r="J442" i="4" s="1"/>
  <c r="K442" i="4" s="1"/>
  <c r="L441" i="4"/>
  <c r="H441" i="4" s="1"/>
  <c r="J441" i="4" s="1"/>
  <c r="K441" i="4" s="1"/>
  <c r="L440" i="4"/>
  <c r="H440" i="4" s="1"/>
  <c r="J440" i="4" s="1"/>
  <c r="K440" i="4" s="1"/>
  <c r="L439" i="4"/>
  <c r="H439" i="4" s="1"/>
  <c r="J439" i="4" s="1"/>
  <c r="K439" i="4" s="1"/>
  <c r="L438" i="4"/>
  <c r="H438" i="4" s="1"/>
  <c r="J438" i="4" s="1"/>
  <c r="K438" i="4" s="1"/>
  <c r="L437" i="4"/>
  <c r="H437" i="4" s="1"/>
  <c r="J437" i="4" s="1"/>
  <c r="K437" i="4" s="1"/>
  <c r="L436" i="4"/>
  <c r="H436" i="4" s="1"/>
  <c r="J436" i="4" s="1"/>
  <c r="K436" i="4" s="1"/>
  <c r="L435" i="4"/>
  <c r="H435" i="4" s="1"/>
  <c r="J435" i="4" s="1"/>
  <c r="K435" i="4" s="1"/>
  <c r="L434" i="4"/>
  <c r="H434" i="4" s="1"/>
  <c r="J434" i="4" s="1"/>
  <c r="K434" i="4" s="1"/>
  <c r="L433" i="4"/>
  <c r="H433" i="4" s="1"/>
  <c r="J433" i="4" s="1"/>
  <c r="K433" i="4" s="1"/>
  <c r="L432" i="4"/>
  <c r="H432" i="4" s="1"/>
  <c r="J432" i="4" s="1"/>
  <c r="K432" i="4" s="1"/>
  <c r="L431" i="4"/>
  <c r="H431" i="4" s="1"/>
  <c r="J431" i="4" s="1"/>
  <c r="K431" i="4" s="1"/>
  <c r="L430" i="4"/>
  <c r="H430" i="4" s="1"/>
  <c r="J430" i="4" s="1"/>
  <c r="K430" i="4" s="1"/>
  <c r="L429" i="4"/>
  <c r="H429" i="4" s="1"/>
  <c r="J429" i="4" s="1"/>
  <c r="K429" i="4" s="1"/>
  <c r="L428" i="4"/>
  <c r="H428" i="4" s="1"/>
  <c r="J428" i="4" s="1"/>
  <c r="K428" i="4" s="1"/>
  <c r="L427" i="4"/>
  <c r="H427" i="4" s="1"/>
  <c r="J427" i="4" s="1"/>
  <c r="K427" i="4" s="1"/>
  <c r="L426" i="4"/>
  <c r="H426" i="4" s="1"/>
  <c r="J426" i="4" s="1"/>
  <c r="K426" i="4" s="1"/>
  <c r="L425" i="4"/>
  <c r="H425" i="4" s="1"/>
  <c r="J425" i="4" s="1"/>
  <c r="K425" i="4" s="1"/>
  <c r="L424" i="4"/>
  <c r="H424" i="4" s="1"/>
  <c r="J424" i="4" s="1"/>
  <c r="K424" i="4" s="1"/>
  <c r="L423" i="4"/>
  <c r="H423" i="4" s="1"/>
  <c r="J423" i="4" s="1"/>
  <c r="K423" i="4" s="1"/>
  <c r="L422" i="4"/>
  <c r="H422" i="4" s="1"/>
  <c r="J422" i="4" s="1"/>
  <c r="K422" i="4" s="1"/>
  <c r="L421" i="4"/>
  <c r="H421" i="4" s="1"/>
  <c r="J421" i="4" s="1"/>
  <c r="K421" i="4" s="1"/>
  <c r="L420" i="4"/>
  <c r="H420" i="4" s="1"/>
  <c r="J420" i="4" s="1"/>
  <c r="K420" i="4" s="1"/>
  <c r="L419" i="4"/>
  <c r="H419" i="4" s="1"/>
  <c r="J419" i="4" s="1"/>
  <c r="K419" i="4" s="1"/>
  <c r="L418" i="4"/>
  <c r="H418" i="4" s="1"/>
  <c r="J418" i="4" s="1"/>
  <c r="K418" i="4" s="1"/>
  <c r="L417" i="4"/>
  <c r="H417" i="4" s="1"/>
  <c r="J417" i="4" s="1"/>
  <c r="K417" i="4" s="1"/>
  <c r="L416" i="4"/>
  <c r="H416" i="4" s="1"/>
  <c r="J416" i="4" s="1"/>
  <c r="K416" i="4" s="1"/>
  <c r="L415" i="4"/>
  <c r="H415" i="4" s="1"/>
  <c r="J415" i="4" s="1"/>
  <c r="K415" i="4" s="1"/>
  <c r="L414" i="4"/>
  <c r="H414" i="4" s="1"/>
  <c r="J414" i="4" s="1"/>
  <c r="K414" i="4" s="1"/>
  <c r="L413" i="4"/>
  <c r="H413" i="4" s="1"/>
  <c r="J413" i="4" s="1"/>
  <c r="K413" i="4" s="1"/>
  <c r="L412" i="4"/>
  <c r="H412" i="4" s="1"/>
  <c r="J412" i="4" s="1"/>
  <c r="K412" i="4" s="1"/>
  <c r="L411" i="4"/>
  <c r="H411" i="4" s="1"/>
  <c r="J411" i="4" s="1"/>
  <c r="K411" i="4" s="1"/>
  <c r="L410" i="4"/>
  <c r="H410" i="4" s="1"/>
  <c r="J410" i="4" s="1"/>
  <c r="K410" i="4" s="1"/>
  <c r="L409" i="4"/>
  <c r="H409" i="4" s="1"/>
  <c r="J409" i="4" s="1"/>
  <c r="K409" i="4" s="1"/>
  <c r="L408" i="4"/>
  <c r="H408" i="4" s="1"/>
  <c r="J408" i="4" s="1"/>
  <c r="K408" i="4" s="1"/>
  <c r="L407" i="4"/>
  <c r="H407" i="4"/>
  <c r="J407" i="4" s="1"/>
  <c r="K407" i="4" s="1"/>
  <c r="L406" i="4"/>
  <c r="H406" i="4"/>
  <c r="J406" i="4" s="1"/>
  <c r="K406" i="4" s="1"/>
  <c r="L405" i="4"/>
  <c r="H405" i="4"/>
  <c r="J405" i="4" s="1"/>
  <c r="K405" i="4" s="1"/>
  <c r="L404" i="4"/>
  <c r="H404" i="4"/>
  <c r="J404" i="4" s="1"/>
  <c r="K404" i="4" s="1"/>
  <c r="L403" i="4"/>
  <c r="H403" i="4"/>
  <c r="J403" i="4" s="1"/>
  <c r="K403" i="4" s="1"/>
  <c r="L402" i="4"/>
  <c r="H402" i="4"/>
  <c r="J402" i="4" s="1"/>
  <c r="K402" i="4" s="1"/>
  <c r="L401" i="4"/>
  <c r="H401" i="4"/>
  <c r="J401" i="4" s="1"/>
  <c r="K401" i="4" s="1"/>
  <c r="L400" i="4"/>
  <c r="H400" i="4"/>
  <c r="J400" i="4" s="1"/>
  <c r="K400" i="4" s="1"/>
  <c r="L399" i="4"/>
  <c r="H399" i="4"/>
  <c r="J399" i="4" s="1"/>
  <c r="K399" i="4" s="1"/>
  <c r="L398" i="4"/>
  <c r="H398" i="4"/>
  <c r="J398" i="4" s="1"/>
  <c r="K398" i="4" s="1"/>
  <c r="L397" i="4"/>
  <c r="H397" i="4"/>
  <c r="J397" i="4" s="1"/>
  <c r="K397" i="4" s="1"/>
  <c r="L396" i="4"/>
  <c r="H396" i="4"/>
  <c r="J396" i="4" s="1"/>
  <c r="K396" i="4" s="1"/>
  <c r="L395" i="4"/>
  <c r="H395" i="4"/>
  <c r="J395" i="4" s="1"/>
  <c r="K395" i="4" s="1"/>
  <c r="L394" i="4"/>
  <c r="H394" i="4"/>
  <c r="J394" i="4" s="1"/>
  <c r="K394" i="4" s="1"/>
  <c r="L393" i="4"/>
  <c r="H393" i="4"/>
  <c r="J393" i="4" s="1"/>
  <c r="K393" i="4" s="1"/>
  <c r="L392" i="4"/>
  <c r="H392" i="4"/>
  <c r="J392" i="4" s="1"/>
  <c r="K392" i="4" s="1"/>
  <c r="L391" i="4"/>
  <c r="H391" i="4"/>
  <c r="J391" i="4" s="1"/>
  <c r="K391" i="4" s="1"/>
  <c r="L390" i="4"/>
  <c r="H390" i="4"/>
  <c r="J390" i="4" s="1"/>
  <c r="K390" i="4" s="1"/>
  <c r="L389" i="4"/>
  <c r="H389" i="4"/>
  <c r="J389" i="4" s="1"/>
  <c r="K389" i="4" s="1"/>
  <c r="L388" i="4"/>
  <c r="H388" i="4"/>
  <c r="J388" i="4" s="1"/>
  <c r="K388" i="4" s="1"/>
  <c r="L387" i="4"/>
  <c r="H387" i="4"/>
  <c r="J387" i="4" s="1"/>
  <c r="K387" i="4" s="1"/>
  <c r="L386" i="4"/>
  <c r="H386" i="4"/>
  <c r="J386" i="4" s="1"/>
  <c r="K386" i="4" s="1"/>
  <c r="L385" i="4"/>
  <c r="H385" i="4"/>
  <c r="J385" i="4" s="1"/>
  <c r="K385" i="4" s="1"/>
  <c r="L384" i="4"/>
  <c r="H384" i="4"/>
  <c r="J384" i="4" s="1"/>
  <c r="K384" i="4" s="1"/>
  <c r="L383" i="4"/>
  <c r="H383" i="4"/>
  <c r="J383" i="4" s="1"/>
  <c r="K383" i="4" s="1"/>
  <c r="L382" i="4"/>
  <c r="H382" i="4"/>
  <c r="J382" i="4" s="1"/>
  <c r="K382" i="4" s="1"/>
  <c r="L381" i="4"/>
  <c r="H381" i="4"/>
  <c r="J381" i="4" s="1"/>
  <c r="K381" i="4" s="1"/>
  <c r="L380" i="4"/>
  <c r="H380" i="4"/>
  <c r="J380" i="4" s="1"/>
  <c r="K380" i="4" s="1"/>
  <c r="L379" i="4"/>
  <c r="H379" i="4"/>
  <c r="J379" i="4" s="1"/>
  <c r="K379" i="4" s="1"/>
  <c r="L378" i="4"/>
  <c r="H378" i="4"/>
  <c r="J378" i="4" s="1"/>
  <c r="K378" i="4" s="1"/>
  <c r="L377" i="4"/>
  <c r="H377" i="4"/>
  <c r="J377" i="4" s="1"/>
  <c r="K377" i="4" s="1"/>
  <c r="L376" i="4"/>
  <c r="H376" i="4"/>
  <c r="J376" i="4" s="1"/>
  <c r="K376" i="4" s="1"/>
  <c r="L375" i="4"/>
  <c r="H375" i="4"/>
  <c r="J375" i="4" s="1"/>
  <c r="K375" i="4" s="1"/>
  <c r="L374" i="4"/>
  <c r="H374" i="4"/>
  <c r="J374" i="4" s="1"/>
  <c r="K374" i="4" s="1"/>
  <c r="L373" i="4"/>
  <c r="H373" i="4"/>
  <c r="J373" i="4" s="1"/>
  <c r="K373" i="4" s="1"/>
  <c r="L372" i="4"/>
  <c r="H372" i="4"/>
  <c r="J372" i="4" s="1"/>
  <c r="K372" i="4" s="1"/>
  <c r="L371" i="4"/>
  <c r="H371" i="4"/>
  <c r="J371" i="4" s="1"/>
  <c r="K371" i="4" s="1"/>
  <c r="L370" i="4"/>
  <c r="H370" i="4"/>
  <c r="J370" i="4" s="1"/>
  <c r="K370" i="4" s="1"/>
  <c r="L369" i="4"/>
  <c r="H369" i="4"/>
  <c r="J369" i="4" s="1"/>
  <c r="K369" i="4" s="1"/>
  <c r="L368" i="4"/>
  <c r="H368" i="4"/>
  <c r="J368" i="4" s="1"/>
  <c r="K368" i="4" s="1"/>
  <c r="L367" i="4"/>
  <c r="H367" i="4"/>
  <c r="J367" i="4" s="1"/>
  <c r="K367" i="4" s="1"/>
  <c r="L366" i="4"/>
  <c r="H366" i="4"/>
  <c r="J366" i="4" s="1"/>
  <c r="K366" i="4" s="1"/>
  <c r="L365" i="4"/>
  <c r="H365" i="4"/>
  <c r="J365" i="4" s="1"/>
  <c r="K365" i="4" s="1"/>
  <c r="L364" i="4"/>
  <c r="H364" i="4"/>
  <c r="J364" i="4" s="1"/>
  <c r="K364" i="4" s="1"/>
  <c r="L363" i="4"/>
  <c r="H363" i="4"/>
  <c r="J363" i="4" s="1"/>
  <c r="K363" i="4" s="1"/>
  <c r="L362" i="4"/>
  <c r="H362" i="4"/>
  <c r="J362" i="4" s="1"/>
  <c r="K362" i="4" s="1"/>
  <c r="L361" i="4"/>
  <c r="H361" i="4"/>
  <c r="J361" i="4" s="1"/>
  <c r="K361" i="4" s="1"/>
  <c r="L360" i="4"/>
  <c r="H360" i="4"/>
  <c r="J360" i="4" s="1"/>
  <c r="K360" i="4" s="1"/>
  <c r="L359" i="4"/>
  <c r="H359" i="4"/>
  <c r="J359" i="4" s="1"/>
  <c r="K359" i="4" s="1"/>
  <c r="L358" i="4"/>
  <c r="H358" i="4"/>
  <c r="J358" i="4" s="1"/>
  <c r="K358" i="4" s="1"/>
  <c r="L357" i="4"/>
  <c r="H357" i="4"/>
  <c r="J357" i="4" s="1"/>
  <c r="K357" i="4" s="1"/>
  <c r="L356" i="4"/>
  <c r="H356" i="4"/>
  <c r="J356" i="4" s="1"/>
  <c r="K356" i="4" s="1"/>
  <c r="L355" i="4"/>
  <c r="H355" i="4"/>
  <c r="J355" i="4" s="1"/>
  <c r="K355" i="4" s="1"/>
  <c r="L354" i="4"/>
  <c r="H354" i="4"/>
  <c r="J354" i="4" s="1"/>
  <c r="K354" i="4" s="1"/>
  <c r="L353" i="4"/>
  <c r="H353" i="4"/>
  <c r="J353" i="4" s="1"/>
  <c r="K353" i="4" s="1"/>
  <c r="L352" i="4"/>
  <c r="H352" i="4"/>
  <c r="J352" i="4" s="1"/>
  <c r="K352" i="4" s="1"/>
  <c r="L351" i="4"/>
  <c r="H351" i="4"/>
  <c r="J351" i="4" s="1"/>
  <c r="K351" i="4" s="1"/>
  <c r="L350" i="4"/>
  <c r="H350" i="4"/>
  <c r="J350" i="4" s="1"/>
  <c r="K350" i="4" s="1"/>
  <c r="L349" i="4"/>
  <c r="H349" i="4"/>
  <c r="J349" i="4" s="1"/>
  <c r="K349" i="4" s="1"/>
  <c r="L348" i="4"/>
  <c r="H348" i="4"/>
  <c r="J348" i="4" s="1"/>
  <c r="K348" i="4" s="1"/>
  <c r="L347" i="4"/>
  <c r="H347" i="4"/>
  <c r="J347" i="4" s="1"/>
  <c r="K347" i="4" s="1"/>
  <c r="L346" i="4"/>
  <c r="H346" i="4"/>
  <c r="J346" i="4" s="1"/>
  <c r="K346" i="4" s="1"/>
  <c r="L345" i="4"/>
  <c r="H345" i="4"/>
  <c r="J345" i="4" s="1"/>
  <c r="K345" i="4" s="1"/>
  <c r="L344" i="4"/>
  <c r="H344" i="4"/>
  <c r="J344" i="4" s="1"/>
  <c r="K344" i="4" s="1"/>
  <c r="L343" i="4"/>
  <c r="H343" i="4"/>
  <c r="J343" i="4" s="1"/>
  <c r="K343" i="4" s="1"/>
  <c r="L342" i="4"/>
  <c r="H342" i="4"/>
  <c r="J342" i="4" s="1"/>
  <c r="K342" i="4" s="1"/>
  <c r="L341" i="4"/>
  <c r="H341" i="4"/>
  <c r="J341" i="4" s="1"/>
  <c r="K341" i="4" s="1"/>
  <c r="L340" i="4"/>
  <c r="H340" i="4"/>
  <c r="J340" i="4" s="1"/>
  <c r="K340" i="4" s="1"/>
  <c r="L339" i="4"/>
  <c r="H339" i="4"/>
  <c r="J339" i="4" s="1"/>
  <c r="K339" i="4" s="1"/>
  <c r="L338" i="4"/>
  <c r="H338" i="4"/>
  <c r="J338" i="4" s="1"/>
  <c r="K338" i="4" s="1"/>
  <c r="L337" i="4"/>
  <c r="H337" i="4"/>
  <c r="J337" i="4" s="1"/>
  <c r="K337" i="4" s="1"/>
  <c r="L336" i="4"/>
  <c r="H336" i="4"/>
  <c r="J336" i="4" s="1"/>
  <c r="K336" i="4" s="1"/>
  <c r="L335" i="4"/>
  <c r="H335" i="4"/>
  <c r="J335" i="4" s="1"/>
  <c r="K335" i="4" s="1"/>
  <c r="L334" i="4"/>
  <c r="H334" i="4"/>
  <c r="J334" i="4" s="1"/>
  <c r="K334" i="4" s="1"/>
  <c r="L333" i="4"/>
  <c r="H333" i="4"/>
  <c r="J333" i="4" s="1"/>
  <c r="K333" i="4" s="1"/>
  <c r="L332" i="4"/>
  <c r="H332" i="4"/>
  <c r="J332" i="4" s="1"/>
  <c r="K332" i="4" s="1"/>
  <c r="L331" i="4"/>
  <c r="H331" i="4"/>
  <c r="J331" i="4" s="1"/>
  <c r="K331" i="4" s="1"/>
  <c r="L330" i="4"/>
  <c r="H330" i="4"/>
  <c r="J330" i="4" s="1"/>
  <c r="K330" i="4" s="1"/>
  <c r="L329" i="4"/>
  <c r="H329" i="4"/>
  <c r="J329" i="4" s="1"/>
  <c r="K329" i="4" s="1"/>
  <c r="L328" i="4"/>
  <c r="H328" i="4"/>
  <c r="J328" i="4" s="1"/>
  <c r="K328" i="4" s="1"/>
  <c r="L327" i="4"/>
  <c r="H327" i="4"/>
  <c r="J327" i="4" s="1"/>
  <c r="K327" i="4" s="1"/>
  <c r="L326" i="4"/>
  <c r="H326" i="4"/>
  <c r="J326" i="4" s="1"/>
  <c r="K326" i="4" s="1"/>
  <c r="L325" i="4"/>
  <c r="H325" i="4"/>
  <c r="J325" i="4" s="1"/>
  <c r="K325" i="4" s="1"/>
  <c r="L324" i="4"/>
  <c r="H324" i="4"/>
  <c r="J324" i="4" s="1"/>
  <c r="K324" i="4" s="1"/>
  <c r="L323" i="4"/>
  <c r="H323" i="4"/>
  <c r="J323" i="4" s="1"/>
  <c r="K323" i="4" s="1"/>
  <c r="L322" i="4"/>
  <c r="H322" i="4"/>
  <c r="J322" i="4" s="1"/>
  <c r="K322" i="4" s="1"/>
  <c r="L321" i="4"/>
  <c r="H321" i="4"/>
  <c r="J321" i="4" s="1"/>
  <c r="K321" i="4" s="1"/>
  <c r="L320" i="4"/>
  <c r="H320" i="4"/>
  <c r="J320" i="4" s="1"/>
  <c r="K320" i="4" s="1"/>
  <c r="L319" i="4"/>
  <c r="H319" i="4"/>
  <c r="J319" i="4" s="1"/>
  <c r="K319" i="4" s="1"/>
  <c r="L318" i="4"/>
  <c r="H318" i="4"/>
  <c r="J318" i="4" s="1"/>
  <c r="K318" i="4" s="1"/>
  <c r="L317" i="4"/>
  <c r="H317" i="4"/>
  <c r="J317" i="4" s="1"/>
  <c r="K317" i="4" s="1"/>
  <c r="L316" i="4"/>
  <c r="H316" i="4"/>
  <c r="J316" i="4" s="1"/>
  <c r="K316" i="4" s="1"/>
  <c r="L315" i="4"/>
  <c r="H315" i="4"/>
  <c r="J315" i="4" s="1"/>
  <c r="K315" i="4" s="1"/>
  <c r="L314" i="4"/>
  <c r="H314" i="4"/>
  <c r="J314" i="4" s="1"/>
  <c r="K314" i="4" s="1"/>
  <c r="L313" i="4"/>
  <c r="H313" i="4"/>
  <c r="J313" i="4" s="1"/>
  <c r="K313" i="4" s="1"/>
  <c r="L312" i="4"/>
  <c r="H312" i="4"/>
  <c r="J312" i="4" s="1"/>
  <c r="K312" i="4" s="1"/>
  <c r="L311" i="4"/>
  <c r="H311" i="4"/>
  <c r="J311" i="4" s="1"/>
  <c r="K311" i="4" s="1"/>
  <c r="L310" i="4"/>
  <c r="H310" i="4"/>
  <c r="J310" i="4" s="1"/>
  <c r="K310" i="4" s="1"/>
  <c r="L309" i="4"/>
  <c r="H309" i="4"/>
  <c r="J309" i="4" s="1"/>
  <c r="K309" i="4" s="1"/>
  <c r="L308" i="4"/>
  <c r="H308" i="4"/>
  <c r="J308" i="4" s="1"/>
  <c r="K308" i="4" s="1"/>
  <c r="L307" i="4"/>
  <c r="H307" i="4"/>
  <c r="J307" i="4" s="1"/>
  <c r="K307" i="4" s="1"/>
  <c r="L306" i="4"/>
  <c r="H306" i="4"/>
  <c r="J306" i="4" s="1"/>
  <c r="K306" i="4" s="1"/>
  <c r="L305" i="4"/>
  <c r="H305" i="4"/>
  <c r="J305" i="4" s="1"/>
  <c r="K305" i="4" s="1"/>
  <c r="L304" i="4"/>
  <c r="H304" i="4"/>
  <c r="J304" i="4" s="1"/>
  <c r="K304" i="4" s="1"/>
  <c r="L303" i="4"/>
  <c r="H303" i="4"/>
  <c r="J303" i="4" s="1"/>
  <c r="K303" i="4" s="1"/>
  <c r="L302" i="4"/>
  <c r="H302" i="4"/>
  <c r="J302" i="4" s="1"/>
  <c r="K302" i="4" s="1"/>
  <c r="L301" i="4"/>
  <c r="H301" i="4"/>
  <c r="J301" i="4" s="1"/>
  <c r="K301" i="4" s="1"/>
  <c r="L300" i="4"/>
  <c r="H300" i="4"/>
  <c r="J300" i="4" s="1"/>
  <c r="K300" i="4" s="1"/>
  <c r="L299" i="4"/>
  <c r="H299" i="4"/>
  <c r="J299" i="4" s="1"/>
  <c r="K299" i="4" s="1"/>
  <c r="L298" i="4"/>
  <c r="H298" i="4"/>
  <c r="J298" i="4" s="1"/>
  <c r="K298" i="4" s="1"/>
  <c r="L297" i="4"/>
  <c r="H297" i="4"/>
  <c r="J297" i="4" s="1"/>
  <c r="K297" i="4" s="1"/>
  <c r="L296" i="4"/>
  <c r="H296" i="4"/>
  <c r="J296" i="4" s="1"/>
  <c r="K296" i="4" s="1"/>
  <c r="L295" i="4"/>
  <c r="H295" i="4"/>
  <c r="J295" i="4" s="1"/>
  <c r="K295" i="4" s="1"/>
  <c r="L294" i="4"/>
  <c r="H294" i="4"/>
  <c r="J294" i="4" s="1"/>
  <c r="K294" i="4" s="1"/>
  <c r="L293" i="4"/>
  <c r="H293" i="4"/>
  <c r="J293" i="4" s="1"/>
  <c r="K293" i="4" s="1"/>
  <c r="L292" i="4"/>
  <c r="H292" i="4"/>
  <c r="J292" i="4" s="1"/>
  <c r="K292" i="4" s="1"/>
  <c r="L291" i="4"/>
  <c r="H291" i="4"/>
  <c r="J291" i="4" s="1"/>
  <c r="K291" i="4" s="1"/>
  <c r="L290" i="4"/>
  <c r="H290" i="4"/>
  <c r="J290" i="4" s="1"/>
  <c r="K290" i="4" s="1"/>
  <c r="L289" i="4"/>
  <c r="H289" i="4"/>
  <c r="J289" i="4" s="1"/>
  <c r="K289" i="4" s="1"/>
  <c r="L288" i="4"/>
  <c r="H288" i="4"/>
  <c r="J288" i="4" s="1"/>
  <c r="K288" i="4" s="1"/>
  <c r="L287" i="4"/>
  <c r="H287" i="4"/>
  <c r="J287" i="4" s="1"/>
  <c r="K287" i="4" s="1"/>
  <c r="L286" i="4"/>
  <c r="H286" i="4"/>
  <c r="J286" i="4" s="1"/>
  <c r="K286" i="4" s="1"/>
  <c r="L285" i="4"/>
  <c r="H285" i="4"/>
  <c r="J285" i="4" s="1"/>
  <c r="K285" i="4" s="1"/>
  <c r="L284" i="4"/>
  <c r="H284" i="4"/>
  <c r="J284" i="4" s="1"/>
  <c r="K284" i="4" s="1"/>
  <c r="L283" i="4"/>
  <c r="H283" i="4"/>
  <c r="J283" i="4" s="1"/>
  <c r="K283" i="4" s="1"/>
  <c r="L282" i="4"/>
  <c r="H282" i="4"/>
  <c r="J282" i="4" s="1"/>
  <c r="K282" i="4" s="1"/>
  <c r="L281" i="4"/>
  <c r="H281" i="4"/>
  <c r="J281" i="4" s="1"/>
  <c r="K281" i="4" s="1"/>
  <c r="L280" i="4"/>
  <c r="H280" i="4"/>
  <c r="J280" i="4" s="1"/>
  <c r="K280" i="4" s="1"/>
  <c r="L279" i="4"/>
  <c r="H279" i="4"/>
  <c r="J279" i="4" s="1"/>
  <c r="K279" i="4" s="1"/>
  <c r="L278" i="4"/>
  <c r="H278" i="4"/>
  <c r="J278" i="4" s="1"/>
  <c r="K278" i="4" s="1"/>
  <c r="L277" i="4"/>
  <c r="H277" i="4"/>
  <c r="J277" i="4" s="1"/>
  <c r="K277" i="4" s="1"/>
  <c r="L276" i="4"/>
  <c r="H276" i="4"/>
  <c r="J276" i="4" s="1"/>
  <c r="K276" i="4" s="1"/>
  <c r="L275" i="4"/>
  <c r="H275" i="4"/>
  <c r="J275" i="4" s="1"/>
  <c r="K275" i="4" s="1"/>
  <c r="L274" i="4"/>
  <c r="H274" i="4"/>
  <c r="J274" i="4" s="1"/>
  <c r="K274" i="4" s="1"/>
  <c r="L273" i="4"/>
  <c r="H273" i="4"/>
  <c r="J273" i="4" s="1"/>
  <c r="K273" i="4" s="1"/>
  <c r="L272" i="4"/>
  <c r="H272" i="4"/>
  <c r="J272" i="4" s="1"/>
  <c r="K272" i="4" s="1"/>
  <c r="L271" i="4"/>
  <c r="H271" i="4"/>
  <c r="J271" i="4" s="1"/>
  <c r="K271" i="4" s="1"/>
  <c r="L270" i="4"/>
  <c r="H270" i="4"/>
  <c r="J270" i="4" s="1"/>
  <c r="K270" i="4" s="1"/>
  <c r="L269" i="4"/>
  <c r="H269" i="4"/>
  <c r="J269" i="4" s="1"/>
  <c r="K269" i="4" s="1"/>
  <c r="L268" i="4"/>
  <c r="H268" i="4"/>
  <c r="J268" i="4" s="1"/>
  <c r="K268" i="4" s="1"/>
  <c r="L267" i="4"/>
  <c r="H267" i="4"/>
  <c r="J267" i="4" s="1"/>
  <c r="K267" i="4" s="1"/>
  <c r="L266" i="4"/>
  <c r="H266" i="4"/>
  <c r="J266" i="4" s="1"/>
  <c r="K266" i="4" s="1"/>
  <c r="L265" i="4"/>
  <c r="H265" i="4"/>
  <c r="J265" i="4" s="1"/>
  <c r="K265" i="4" s="1"/>
  <c r="L264" i="4"/>
  <c r="H264" i="4"/>
  <c r="J264" i="4" s="1"/>
  <c r="K264" i="4" s="1"/>
  <c r="L263" i="4"/>
  <c r="H263" i="4"/>
  <c r="J263" i="4" s="1"/>
  <c r="K263" i="4" s="1"/>
  <c r="L262" i="4"/>
  <c r="H262" i="4"/>
  <c r="J262" i="4" s="1"/>
  <c r="K262" i="4" s="1"/>
  <c r="L261" i="4"/>
  <c r="H261" i="4"/>
  <c r="J261" i="4" s="1"/>
  <c r="K261" i="4" s="1"/>
  <c r="L260" i="4"/>
  <c r="H260" i="4"/>
  <c r="J260" i="4" s="1"/>
  <c r="K260" i="4" s="1"/>
  <c r="L259" i="4"/>
  <c r="H259" i="4"/>
  <c r="J259" i="4" s="1"/>
  <c r="K259" i="4" s="1"/>
  <c r="L258" i="4"/>
  <c r="H258" i="4"/>
  <c r="J258" i="4" s="1"/>
  <c r="K258" i="4" s="1"/>
  <c r="L257" i="4"/>
  <c r="H257" i="4"/>
  <c r="J257" i="4" s="1"/>
  <c r="K257" i="4" s="1"/>
  <c r="L256" i="4"/>
  <c r="H256" i="4"/>
  <c r="J256" i="4" s="1"/>
  <c r="K256" i="4" s="1"/>
  <c r="L255" i="4"/>
  <c r="H255" i="4"/>
  <c r="J255" i="4" s="1"/>
  <c r="K255" i="4" s="1"/>
  <c r="L254" i="4"/>
  <c r="H254" i="4"/>
  <c r="J254" i="4" s="1"/>
  <c r="K254" i="4" s="1"/>
  <c r="L253" i="4"/>
  <c r="H253" i="4"/>
  <c r="J253" i="4" s="1"/>
  <c r="K253" i="4" s="1"/>
  <c r="L252" i="4"/>
  <c r="H252" i="4"/>
  <c r="J252" i="4" s="1"/>
  <c r="K252" i="4" s="1"/>
  <c r="L251" i="4"/>
  <c r="H251" i="4" s="1"/>
  <c r="J251" i="4" s="1"/>
  <c r="K251" i="4" s="1"/>
  <c r="L250" i="4"/>
  <c r="H250" i="4"/>
  <c r="J250" i="4" s="1"/>
  <c r="K250" i="4" s="1"/>
  <c r="L249" i="4"/>
  <c r="H249" i="4"/>
  <c r="J249" i="4" s="1"/>
  <c r="K249" i="4" s="1"/>
  <c r="L248" i="4"/>
  <c r="H248" i="4"/>
  <c r="J248" i="4" s="1"/>
  <c r="K248" i="4" s="1"/>
  <c r="L247" i="4"/>
  <c r="H247" i="4"/>
  <c r="J247" i="4" s="1"/>
  <c r="K247" i="4" s="1"/>
  <c r="L246" i="4"/>
  <c r="H246" i="4"/>
  <c r="J246" i="4" s="1"/>
  <c r="K246" i="4" s="1"/>
  <c r="L245" i="4"/>
  <c r="H245" i="4"/>
  <c r="J245" i="4" s="1"/>
  <c r="K245" i="4" s="1"/>
  <c r="L244" i="4"/>
  <c r="H244" i="4"/>
  <c r="J244" i="4" s="1"/>
  <c r="K244" i="4" s="1"/>
  <c r="L243" i="4"/>
  <c r="H243" i="4"/>
  <c r="J243" i="4" s="1"/>
  <c r="K243" i="4" s="1"/>
  <c r="L242" i="4"/>
  <c r="H242" i="4"/>
  <c r="J242" i="4" s="1"/>
  <c r="K242" i="4" s="1"/>
  <c r="L241" i="4"/>
  <c r="H241" i="4"/>
  <c r="J241" i="4" s="1"/>
  <c r="K241" i="4" s="1"/>
  <c r="L240" i="4"/>
  <c r="H240" i="4"/>
  <c r="J240" i="4" s="1"/>
  <c r="K240" i="4" s="1"/>
  <c r="L239" i="4"/>
  <c r="H239" i="4"/>
  <c r="J239" i="4" s="1"/>
  <c r="K239" i="4" s="1"/>
  <c r="L238" i="4"/>
  <c r="H238" i="4"/>
  <c r="J238" i="4" s="1"/>
  <c r="K238" i="4" s="1"/>
  <c r="L237" i="4"/>
  <c r="H237" i="4"/>
  <c r="J237" i="4" s="1"/>
  <c r="K237" i="4" s="1"/>
  <c r="L236" i="4"/>
  <c r="H236" i="4"/>
  <c r="J236" i="4" s="1"/>
  <c r="K236" i="4" s="1"/>
  <c r="L235" i="4"/>
  <c r="H235" i="4"/>
  <c r="J235" i="4" s="1"/>
  <c r="K235" i="4" s="1"/>
  <c r="L234" i="4"/>
  <c r="H234" i="4"/>
  <c r="J234" i="4" s="1"/>
  <c r="K234" i="4" s="1"/>
  <c r="L233" i="4"/>
  <c r="H233" i="4"/>
  <c r="J233" i="4" s="1"/>
  <c r="K233" i="4" s="1"/>
  <c r="L232" i="4"/>
  <c r="H232" i="4"/>
  <c r="J232" i="4" s="1"/>
  <c r="K232" i="4" s="1"/>
  <c r="L231" i="4"/>
  <c r="H231" i="4"/>
  <c r="J231" i="4" s="1"/>
  <c r="K231" i="4" s="1"/>
  <c r="L230" i="4"/>
  <c r="H230" i="4"/>
  <c r="J230" i="4" s="1"/>
  <c r="K230" i="4" s="1"/>
  <c r="L229" i="4"/>
  <c r="H229" i="4"/>
  <c r="J229" i="4" s="1"/>
  <c r="K229" i="4" s="1"/>
  <c r="L228" i="4"/>
  <c r="H228" i="4"/>
  <c r="J228" i="4" s="1"/>
  <c r="K228" i="4" s="1"/>
  <c r="L227" i="4"/>
  <c r="H227" i="4"/>
  <c r="J227" i="4" s="1"/>
  <c r="K227" i="4" s="1"/>
  <c r="L226" i="4"/>
  <c r="H226" i="4"/>
  <c r="J226" i="4" s="1"/>
  <c r="K226" i="4" s="1"/>
  <c r="L225" i="4"/>
  <c r="H225" i="4"/>
  <c r="J225" i="4" s="1"/>
  <c r="K225" i="4" s="1"/>
  <c r="L224" i="4"/>
  <c r="H224" i="4"/>
  <c r="J224" i="4" s="1"/>
  <c r="K224" i="4" s="1"/>
  <c r="L223" i="4"/>
  <c r="H223" i="4"/>
  <c r="J223" i="4" s="1"/>
  <c r="K223" i="4" s="1"/>
  <c r="L222" i="4"/>
  <c r="H222" i="4"/>
  <c r="J222" i="4" s="1"/>
  <c r="K222" i="4" s="1"/>
  <c r="L221" i="4"/>
  <c r="H221" i="4"/>
  <c r="J221" i="4" s="1"/>
  <c r="K221" i="4" s="1"/>
  <c r="L220" i="4"/>
  <c r="H220" i="4"/>
  <c r="J220" i="4" s="1"/>
  <c r="K220" i="4" s="1"/>
  <c r="L219" i="4"/>
  <c r="H219" i="4"/>
  <c r="J219" i="4" s="1"/>
  <c r="K219" i="4" s="1"/>
  <c r="L218" i="4"/>
  <c r="H218" i="4"/>
  <c r="J218" i="4" s="1"/>
  <c r="K218" i="4" s="1"/>
  <c r="L217" i="4"/>
  <c r="H217" i="4"/>
  <c r="J217" i="4" s="1"/>
  <c r="K217" i="4" s="1"/>
  <c r="L216" i="4"/>
  <c r="H216" i="4"/>
  <c r="J216" i="4" s="1"/>
  <c r="K216" i="4" s="1"/>
  <c r="L215" i="4"/>
  <c r="H215" i="4"/>
  <c r="J215" i="4" s="1"/>
  <c r="K215" i="4" s="1"/>
  <c r="L214" i="4"/>
  <c r="H214" i="4"/>
  <c r="J214" i="4" s="1"/>
  <c r="K214" i="4" s="1"/>
  <c r="L213" i="4"/>
  <c r="H213" i="4"/>
  <c r="J213" i="4" s="1"/>
  <c r="K213" i="4" s="1"/>
  <c r="L212" i="4"/>
  <c r="H212" i="4"/>
  <c r="J212" i="4" s="1"/>
  <c r="K212" i="4" s="1"/>
  <c r="L211" i="4"/>
  <c r="H211" i="4"/>
  <c r="J211" i="4" s="1"/>
  <c r="K211" i="4" s="1"/>
  <c r="L210" i="4"/>
  <c r="H210" i="4"/>
  <c r="J210" i="4" s="1"/>
  <c r="K210" i="4" s="1"/>
  <c r="L209" i="4"/>
  <c r="H209" i="4"/>
  <c r="J209" i="4" s="1"/>
  <c r="K209" i="4" s="1"/>
  <c r="L208" i="4"/>
  <c r="H208" i="4"/>
  <c r="J208" i="4" s="1"/>
  <c r="K208" i="4" s="1"/>
  <c r="L207" i="4"/>
  <c r="H207" i="4"/>
  <c r="J207" i="4" s="1"/>
  <c r="K207" i="4" s="1"/>
  <c r="L206" i="4"/>
  <c r="H206" i="4"/>
  <c r="J206" i="4" s="1"/>
  <c r="K206" i="4" s="1"/>
  <c r="L205" i="4"/>
  <c r="H205" i="4"/>
  <c r="J205" i="4" s="1"/>
  <c r="K205" i="4" s="1"/>
  <c r="L204" i="4"/>
  <c r="H204" i="4"/>
  <c r="J204" i="4" s="1"/>
  <c r="K204" i="4" s="1"/>
  <c r="L203" i="4"/>
  <c r="H203" i="4"/>
  <c r="J203" i="4" s="1"/>
  <c r="K203" i="4" s="1"/>
  <c r="L202" i="4"/>
  <c r="H202" i="4"/>
  <c r="J202" i="4" s="1"/>
  <c r="K202" i="4" s="1"/>
  <c r="L201" i="4"/>
  <c r="H201" i="4"/>
  <c r="J201" i="4" s="1"/>
  <c r="K201" i="4" s="1"/>
  <c r="L200" i="4"/>
  <c r="H200" i="4"/>
  <c r="J200" i="4" s="1"/>
  <c r="K200" i="4" s="1"/>
  <c r="L199" i="4"/>
  <c r="H199" i="4"/>
  <c r="J199" i="4" s="1"/>
  <c r="K199" i="4" s="1"/>
  <c r="L198" i="4"/>
  <c r="H198" i="4"/>
  <c r="J198" i="4" s="1"/>
  <c r="K198" i="4" s="1"/>
  <c r="L197" i="4"/>
  <c r="H197" i="4"/>
  <c r="J197" i="4" s="1"/>
  <c r="K197" i="4" s="1"/>
  <c r="L196" i="4"/>
  <c r="H196" i="4"/>
  <c r="J196" i="4" s="1"/>
  <c r="K196" i="4" s="1"/>
  <c r="L195" i="4"/>
  <c r="H195" i="4"/>
  <c r="J195" i="4" s="1"/>
  <c r="K195" i="4" s="1"/>
  <c r="L194" i="4"/>
  <c r="H194" i="4"/>
  <c r="J194" i="4" s="1"/>
  <c r="K194" i="4" s="1"/>
  <c r="L193" i="4"/>
  <c r="H193" i="4"/>
  <c r="J193" i="4" s="1"/>
  <c r="K193" i="4" s="1"/>
  <c r="L192" i="4"/>
  <c r="H192" i="4"/>
  <c r="J192" i="4" s="1"/>
  <c r="K192" i="4" s="1"/>
  <c r="L191" i="4"/>
  <c r="H191" i="4"/>
  <c r="J191" i="4" s="1"/>
  <c r="K191" i="4" s="1"/>
  <c r="L190" i="4"/>
  <c r="H190" i="4"/>
  <c r="J190" i="4" s="1"/>
  <c r="K190" i="4" s="1"/>
  <c r="L189" i="4"/>
  <c r="H189" i="4"/>
  <c r="J189" i="4" s="1"/>
  <c r="K189" i="4" s="1"/>
  <c r="L188" i="4"/>
  <c r="H188" i="4"/>
  <c r="J188" i="4" s="1"/>
  <c r="K188" i="4" s="1"/>
  <c r="L187" i="4"/>
  <c r="H187" i="4"/>
  <c r="J187" i="4" s="1"/>
  <c r="K187" i="4" s="1"/>
  <c r="L186" i="4"/>
  <c r="H186" i="4"/>
  <c r="J186" i="4" s="1"/>
  <c r="K186" i="4" s="1"/>
  <c r="L185" i="4"/>
  <c r="H185" i="4"/>
  <c r="J185" i="4" s="1"/>
  <c r="K185" i="4" s="1"/>
  <c r="L184" i="4"/>
  <c r="H184" i="4"/>
  <c r="J184" i="4" s="1"/>
  <c r="K184" i="4" s="1"/>
  <c r="L183" i="4"/>
  <c r="H183" i="4"/>
  <c r="J183" i="4" s="1"/>
  <c r="K183" i="4" s="1"/>
  <c r="L182" i="4"/>
  <c r="H182" i="4"/>
  <c r="J182" i="4" s="1"/>
  <c r="K182" i="4" s="1"/>
  <c r="L181" i="4"/>
  <c r="H181" i="4"/>
  <c r="J181" i="4" s="1"/>
  <c r="K181" i="4" s="1"/>
  <c r="L180" i="4"/>
  <c r="H180" i="4"/>
  <c r="J180" i="4" s="1"/>
  <c r="K180" i="4" s="1"/>
  <c r="L179" i="4"/>
  <c r="H179" i="4"/>
  <c r="J179" i="4" s="1"/>
  <c r="K179" i="4" s="1"/>
  <c r="L178" i="4"/>
  <c r="H178" i="4"/>
  <c r="J178" i="4" s="1"/>
  <c r="K178" i="4" s="1"/>
  <c r="L177" i="4"/>
  <c r="H177" i="4"/>
  <c r="J177" i="4" s="1"/>
  <c r="K177" i="4" s="1"/>
  <c r="L176" i="4"/>
  <c r="H176" i="4"/>
  <c r="J176" i="4" s="1"/>
  <c r="K176" i="4" s="1"/>
  <c r="L175" i="4"/>
  <c r="H175" i="4"/>
  <c r="J175" i="4" s="1"/>
  <c r="K175" i="4" s="1"/>
  <c r="L174" i="4"/>
  <c r="H174" i="4"/>
  <c r="J174" i="4" s="1"/>
  <c r="K174" i="4" s="1"/>
  <c r="L173" i="4"/>
  <c r="H173" i="4"/>
  <c r="J173" i="4" s="1"/>
  <c r="K173" i="4" s="1"/>
  <c r="L172" i="4"/>
  <c r="H172" i="4"/>
  <c r="J172" i="4" s="1"/>
  <c r="K172" i="4" s="1"/>
  <c r="L171" i="4"/>
  <c r="H171" i="4"/>
  <c r="J171" i="4" s="1"/>
  <c r="K171" i="4" s="1"/>
  <c r="L170" i="4"/>
  <c r="H170" i="4"/>
  <c r="J170" i="4" s="1"/>
  <c r="K170" i="4" s="1"/>
  <c r="L169" i="4"/>
  <c r="H169" i="4"/>
  <c r="J169" i="4" s="1"/>
  <c r="K169" i="4" s="1"/>
  <c r="L168" i="4"/>
  <c r="H168" i="4"/>
  <c r="J168" i="4" s="1"/>
  <c r="K168" i="4" s="1"/>
  <c r="L167" i="4"/>
  <c r="H167" i="4"/>
  <c r="J167" i="4" s="1"/>
  <c r="K167" i="4" s="1"/>
  <c r="L166" i="4"/>
  <c r="H166" i="4"/>
  <c r="J166" i="4" s="1"/>
  <c r="K166" i="4" s="1"/>
  <c r="L165" i="4"/>
  <c r="H165" i="4"/>
  <c r="J165" i="4" s="1"/>
  <c r="K165" i="4" s="1"/>
  <c r="L164" i="4"/>
  <c r="H164" i="4"/>
  <c r="J164" i="4" s="1"/>
  <c r="K164" i="4" s="1"/>
  <c r="L163" i="4"/>
  <c r="H163" i="4"/>
  <c r="J163" i="4" s="1"/>
  <c r="K163" i="4" s="1"/>
  <c r="L162" i="4"/>
  <c r="H162" i="4"/>
  <c r="J162" i="4" s="1"/>
  <c r="K162" i="4" s="1"/>
  <c r="L161" i="4"/>
  <c r="H161" i="4"/>
  <c r="J161" i="4" s="1"/>
  <c r="K161" i="4" s="1"/>
  <c r="L160" i="4"/>
  <c r="H160" i="4"/>
  <c r="J160" i="4" s="1"/>
  <c r="K160" i="4" s="1"/>
  <c r="L159" i="4"/>
  <c r="H159" i="4"/>
  <c r="J159" i="4" s="1"/>
  <c r="K159" i="4" s="1"/>
  <c r="L158" i="4"/>
  <c r="H158" i="4"/>
  <c r="J158" i="4" s="1"/>
  <c r="K158" i="4" s="1"/>
  <c r="L157" i="4"/>
  <c r="H157" i="4"/>
  <c r="J157" i="4" s="1"/>
  <c r="K157" i="4" s="1"/>
  <c r="L156" i="4"/>
  <c r="H156" i="4"/>
  <c r="J156" i="4" s="1"/>
  <c r="K156" i="4" s="1"/>
  <c r="L155" i="4"/>
  <c r="H155" i="4"/>
  <c r="J155" i="4" s="1"/>
  <c r="K155" i="4" s="1"/>
  <c r="L154" i="4"/>
  <c r="H154" i="4"/>
  <c r="J154" i="4" s="1"/>
  <c r="K154" i="4" s="1"/>
  <c r="L153" i="4"/>
  <c r="H153" i="4"/>
  <c r="J153" i="4" s="1"/>
  <c r="K153" i="4" s="1"/>
  <c r="L152" i="4"/>
  <c r="H152" i="4"/>
  <c r="J152" i="4" s="1"/>
  <c r="K152" i="4" s="1"/>
  <c r="L151" i="4"/>
  <c r="H151" i="4"/>
  <c r="J151" i="4" s="1"/>
  <c r="K151" i="4" s="1"/>
  <c r="L150" i="4"/>
  <c r="H150" i="4"/>
  <c r="J150" i="4" s="1"/>
  <c r="K150" i="4" s="1"/>
  <c r="L149" i="4"/>
  <c r="H149" i="4"/>
  <c r="J149" i="4" s="1"/>
  <c r="K149" i="4" s="1"/>
  <c r="L148" i="4"/>
  <c r="H148" i="4"/>
  <c r="J148" i="4" s="1"/>
  <c r="K148" i="4" s="1"/>
  <c r="L147" i="4"/>
  <c r="H147" i="4"/>
  <c r="J147" i="4" s="1"/>
  <c r="K147" i="4" s="1"/>
  <c r="L146" i="4"/>
  <c r="H146" i="4"/>
  <c r="J146" i="4" s="1"/>
  <c r="K146" i="4" s="1"/>
  <c r="L145" i="4"/>
  <c r="H145" i="4"/>
  <c r="J145" i="4" s="1"/>
  <c r="K145" i="4" s="1"/>
  <c r="L144" i="4"/>
  <c r="H144" i="4"/>
  <c r="J144" i="4" s="1"/>
  <c r="K144" i="4" s="1"/>
  <c r="L143" i="4"/>
  <c r="H143" i="4"/>
  <c r="J143" i="4" s="1"/>
  <c r="K143" i="4" s="1"/>
  <c r="L142" i="4"/>
  <c r="H142" i="4"/>
  <c r="J142" i="4" s="1"/>
  <c r="K142" i="4" s="1"/>
  <c r="L141" i="4"/>
  <c r="H141" i="4"/>
  <c r="J141" i="4" s="1"/>
  <c r="K141" i="4" s="1"/>
  <c r="L140" i="4"/>
  <c r="H140" i="4"/>
  <c r="J140" i="4" s="1"/>
  <c r="K140" i="4" s="1"/>
  <c r="L139" i="4"/>
  <c r="H139" i="4"/>
  <c r="J139" i="4" s="1"/>
  <c r="K139" i="4" s="1"/>
  <c r="L138" i="4"/>
  <c r="H138" i="4"/>
  <c r="J138" i="4" s="1"/>
  <c r="K138" i="4" s="1"/>
  <c r="L137" i="4"/>
  <c r="H137" i="4"/>
  <c r="J137" i="4" s="1"/>
  <c r="K137" i="4" s="1"/>
  <c r="L136" i="4"/>
  <c r="H136" i="4"/>
  <c r="J136" i="4" s="1"/>
  <c r="K136" i="4" s="1"/>
  <c r="L135" i="4"/>
  <c r="H135" i="4"/>
  <c r="J135" i="4" s="1"/>
  <c r="K135" i="4" s="1"/>
  <c r="L134" i="4"/>
  <c r="H134" i="4"/>
  <c r="J134" i="4" s="1"/>
  <c r="K134" i="4" s="1"/>
  <c r="L133" i="4"/>
  <c r="H133" i="4"/>
  <c r="J133" i="4" s="1"/>
  <c r="K133" i="4" s="1"/>
  <c r="L132" i="4"/>
  <c r="H132" i="4"/>
  <c r="J132" i="4" s="1"/>
  <c r="K132" i="4" s="1"/>
  <c r="L131" i="4"/>
  <c r="H131" i="4"/>
  <c r="J131" i="4" s="1"/>
  <c r="K131" i="4" s="1"/>
  <c r="L130" i="4"/>
  <c r="H130" i="4"/>
  <c r="J130" i="4" s="1"/>
  <c r="K130" i="4" s="1"/>
  <c r="L129" i="4"/>
  <c r="H129" i="4"/>
  <c r="J129" i="4" s="1"/>
  <c r="K129" i="4" s="1"/>
  <c r="L128" i="4"/>
  <c r="H128" i="4"/>
  <c r="J128" i="4" s="1"/>
  <c r="K128" i="4" s="1"/>
  <c r="L127" i="4"/>
  <c r="H127" i="4"/>
  <c r="J127" i="4" s="1"/>
  <c r="K127" i="4" s="1"/>
  <c r="L126" i="4"/>
  <c r="H126" i="4"/>
  <c r="J126" i="4" s="1"/>
  <c r="K126" i="4" s="1"/>
  <c r="L125" i="4"/>
  <c r="H125" i="4"/>
  <c r="J125" i="4" s="1"/>
  <c r="K125" i="4" s="1"/>
  <c r="L124" i="4"/>
  <c r="H124" i="4"/>
  <c r="J124" i="4" s="1"/>
  <c r="K124" i="4" s="1"/>
  <c r="L123" i="4"/>
  <c r="H123" i="4"/>
  <c r="J123" i="4" s="1"/>
  <c r="K123" i="4" s="1"/>
  <c r="L122" i="4"/>
  <c r="H122" i="4"/>
  <c r="J122" i="4" s="1"/>
  <c r="K122" i="4" s="1"/>
  <c r="L121" i="4"/>
  <c r="H121" i="4"/>
  <c r="J121" i="4" s="1"/>
  <c r="K121" i="4" s="1"/>
  <c r="L120" i="4"/>
  <c r="H120" i="4"/>
  <c r="J120" i="4" s="1"/>
  <c r="K120" i="4" s="1"/>
  <c r="L119" i="4"/>
  <c r="H119" i="4"/>
  <c r="J119" i="4" s="1"/>
  <c r="K119" i="4" s="1"/>
  <c r="L118" i="4"/>
  <c r="H118" i="4"/>
  <c r="J118" i="4" s="1"/>
  <c r="K118" i="4" s="1"/>
  <c r="L117" i="4"/>
  <c r="H117" i="4"/>
  <c r="J117" i="4" s="1"/>
  <c r="K117" i="4" s="1"/>
  <c r="L116" i="4"/>
  <c r="H116" i="4"/>
  <c r="J116" i="4" s="1"/>
  <c r="K116" i="4" s="1"/>
  <c r="L115" i="4"/>
  <c r="H115" i="4"/>
  <c r="J115" i="4" s="1"/>
  <c r="K115" i="4" s="1"/>
  <c r="L114" i="4"/>
  <c r="H114" i="4"/>
  <c r="J114" i="4" s="1"/>
  <c r="K114" i="4" s="1"/>
  <c r="L113" i="4"/>
  <c r="H113" i="4"/>
  <c r="J113" i="4" s="1"/>
  <c r="K113" i="4" s="1"/>
  <c r="L112" i="4"/>
  <c r="H112" i="4"/>
  <c r="J112" i="4" s="1"/>
  <c r="K112" i="4" s="1"/>
  <c r="L111" i="4"/>
  <c r="H111" i="4"/>
  <c r="J111" i="4" s="1"/>
  <c r="K111" i="4" s="1"/>
  <c r="L110" i="4"/>
  <c r="H110" i="4"/>
  <c r="J110" i="4" s="1"/>
  <c r="K110" i="4" s="1"/>
  <c r="L109" i="4"/>
  <c r="H109" i="4"/>
  <c r="J109" i="4" s="1"/>
  <c r="K109" i="4" s="1"/>
  <c r="L108" i="4"/>
  <c r="H108" i="4"/>
  <c r="J108" i="4" s="1"/>
  <c r="K108" i="4" s="1"/>
  <c r="L107" i="4"/>
  <c r="H107" i="4"/>
  <c r="J107" i="4" s="1"/>
  <c r="K107" i="4" s="1"/>
  <c r="L106" i="4"/>
  <c r="H106" i="4"/>
  <c r="J106" i="4" s="1"/>
  <c r="K106" i="4" s="1"/>
  <c r="L105" i="4"/>
  <c r="H105" i="4"/>
  <c r="J105" i="4" s="1"/>
  <c r="K105" i="4" s="1"/>
  <c r="L104" i="4"/>
  <c r="H104" i="4"/>
  <c r="J104" i="4" s="1"/>
  <c r="K104" i="4" s="1"/>
  <c r="L103" i="4"/>
  <c r="H103" i="4"/>
  <c r="J103" i="4" s="1"/>
  <c r="K103" i="4" s="1"/>
  <c r="L102" i="4"/>
  <c r="H102" i="4"/>
  <c r="J102" i="4" s="1"/>
  <c r="K102" i="4" s="1"/>
  <c r="L101" i="4"/>
  <c r="H101" i="4"/>
  <c r="J101" i="4" s="1"/>
  <c r="K101" i="4" s="1"/>
  <c r="L100" i="4"/>
  <c r="H100" i="4"/>
  <c r="J100" i="4" s="1"/>
  <c r="K100" i="4" s="1"/>
  <c r="L99" i="4"/>
  <c r="H99" i="4"/>
  <c r="J99" i="4" s="1"/>
  <c r="K99" i="4" s="1"/>
  <c r="L98" i="4"/>
  <c r="H98" i="4"/>
  <c r="J98" i="4" s="1"/>
  <c r="K98" i="4" s="1"/>
  <c r="L97" i="4"/>
  <c r="H97" i="4"/>
  <c r="J97" i="4" s="1"/>
  <c r="K97" i="4" s="1"/>
  <c r="L96" i="4"/>
  <c r="H96" i="4"/>
  <c r="J96" i="4" s="1"/>
  <c r="K96" i="4" s="1"/>
  <c r="L95" i="4"/>
  <c r="H95" i="4"/>
  <c r="J95" i="4" s="1"/>
  <c r="K95" i="4" s="1"/>
  <c r="L94" i="4"/>
  <c r="H94" i="4" s="1"/>
  <c r="J94" i="4" s="1"/>
  <c r="K94" i="4" s="1"/>
  <c r="L93" i="4"/>
  <c r="H93" i="4"/>
  <c r="J93" i="4" s="1"/>
  <c r="K93" i="4" s="1"/>
  <c r="L92" i="4"/>
  <c r="H92" i="4"/>
  <c r="J92" i="4" s="1"/>
  <c r="K92" i="4" s="1"/>
  <c r="L91" i="4"/>
  <c r="H91" i="4"/>
  <c r="J91" i="4" s="1"/>
  <c r="K91" i="4" s="1"/>
  <c r="L90" i="4"/>
  <c r="H90" i="4"/>
  <c r="J90" i="4" s="1"/>
  <c r="K90" i="4" s="1"/>
  <c r="L89" i="4"/>
  <c r="H89" i="4"/>
  <c r="J89" i="4" s="1"/>
  <c r="K89" i="4" s="1"/>
  <c r="L88" i="4"/>
  <c r="H88" i="4"/>
  <c r="J88" i="4" s="1"/>
  <c r="K88" i="4" s="1"/>
  <c r="L87" i="4"/>
  <c r="H87" i="4"/>
  <c r="J87" i="4" s="1"/>
  <c r="K87" i="4" s="1"/>
  <c r="L86" i="4"/>
  <c r="H86" i="4"/>
  <c r="J86" i="4" s="1"/>
  <c r="K86" i="4" s="1"/>
  <c r="L85" i="4"/>
  <c r="H85" i="4"/>
  <c r="J85" i="4" s="1"/>
  <c r="K85" i="4" s="1"/>
  <c r="L84" i="4"/>
  <c r="H84" i="4"/>
  <c r="J84" i="4" s="1"/>
  <c r="K84" i="4" s="1"/>
  <c r="L83" i="4"/>
  <c r="H83" i="4"/>
  <c r="J83" i="4" s="1"/>
  <c r="K83" i="4" s="1"/>
  <c r="L82" i="4"/>
  <c r="H82" i="4"/>
  <c r="J82" i="4" s="1"/>
  <c r="K82" i="4" s="1"/>
  <c r="L81" i="4"/>
  <c r="H81" i="4"/>
  <c r="J81" i="4" s="1"/>
  <c r="K81" i="4" s="1"/>
  <c r="L80" i="4"/>
  <c r="H80" i="4"/>
  <c r="J80" i="4" s="1"/>
  <c r="K80" i="4" s="1"/>
  <c r="L79" i="4"/>
  <c r="H79" i="4"/>
  <c r="J79" i="4" s="1"/>
  <c r="K79" i="4" s="1"/>
  <c r="L78" i="4"/>
  <c r="H78" i="4"/>
  <c r="J78" i="4" s="1"/>
  <c r="K78" i="4" s="1"/>
  <c r="L77" i="4"/>
  <c r="H77" i="4"/>
  <c r="J77" i="4" s="1"/>
  <c r="K77" i="4" s="1"/>
  <c r="L76" i="4"/>
  <c r="H76" i="4"/>
  <c r="J76" i="4" s="1"/>
  <c r="K76" i="4" s="1"/>
  <c r="L75" i="4"/>
  <c r="H75" i="4"/>
  <c r="J75" i="4" s="1"/>
  <c r="K75" i="4" s="1"/>
  <c r="L74" i="4"/>
  <c r="H74" i="4"/>
  <c r="J74" i="4" s="1"/>
  <c r="K74" i="4" s="1"/>
  <c r="L73" i="4"/>
  <c r="H73" i="4"/>
  <c r="J73" i="4" s="1"/>
  <c r="K73" i="4" s="1"/>
  <c r="L72" i="4"/>
  <c r="H72" i="4"/>
  <c r="J72" i="4" s="1"/>
  <c r="K72" i="4" s="1"/>
  <c r="L71" i="4"/>
  <c r="H71" i="4"/>
  <c r="J71" i="4" s="1"/>
  <c r="K71" i="4" s="1"/>
  <c r="L70" i="4"/>
  <c r="H70" i="4"/>
  <c r="J70" i="4" s="1"/>
  <c r="K70" i="4" s="1"/>
  <c r="L69" i="4"/>
  <c r="H69" i="4"/>
  <c r="J69" i="4" s="1"/>
  <c r="K69" i="4" s="1"/>
  <c r="L68" i="4"/>
  <c r="H68" i="4"/>
  <c r="J68" i="4" s="1"/>
  <c r="K68" i="4" s="1"/>
  <c r="L67" i="4"/>
  <c r="H67" i="4"/>
  <c r="J67" i="4" s="1"/>
  <c r="K67" i="4" s="1"/>
  <c r="L66" i="4"/>
  <c r="H66" i="4"/>
  <c r="J66" i="4" s="1"/>
  <c r="K66" i="4" s="1"/>
  <c r="L65" i="4"/>
  <c r="H65" i="4"/>
  <c r="J65" i="4" s="1"/>
  <c r="K65" i="4" s="1"/>
  <c r="L64" i="4"/>
  <c r="H64" i="4"/>
  <c r="J64" i="4" s="1"/>
  <c r="K64" i="4" s="1"/>
  <c r="L63" i="4"/>
  <c r="H63" i="4"/>
  <c r="J63" i="4" s="1"/>
  <c r="K63" i="4" s="1"/>
  <c r="L62" i="4"/>
  <c r="H62" i="4"/>
  <c r="J62" i="4" s="1"/>
  <c r="K62" i="4" s="1"/>
  <c r="L61" i="4"/>
  <c r="H61" i="4"/>
  <c r="J61" i="4" s="1"/>
  <c r="K61" i="4" s="1"/>
  <c r="L60" i="4"/>
  <c r="H60" i="4"/>
  <c r="J60" i="4" s="1"/>
  <c r="K60" i="4" s="1"/>
  <c r="L59" i="4"/>
  <c r="H59" i="4"/>
  <c r="J59" i="4" s="1"/>
  <c r="K59" i="4" s="1"/>
  <c r="L58" i="4"/>
  <c r="H58" i="4"/>
  <c r="J58" i="4" s="1"/>
  <c r="K58" i="4" s="1"/>
  <c r="L57" i="4"/>
  <c r="H57" i="4"/>
  <c r="J57" i="4" s="1"/>
  <c r="K57" i="4" s="1"/>
  <c r="L56" i="4"/>
  <c r="H56" i="4"/>
  <c r="J56" i="4" s="1"/>
  <c r="K56" i="4" s="1"/>
  <c r="L55" i="4"/>
  <c r="H55" i="4"/>
  <c r="J55" i="4" s="1"/>
  <c r="K55" i="4" s="1"/>
  <c r="L54" i="4"/>
  <c r="H54" i="4"/>
  <c r="J54" i="4" s="1"/>
  <c r="K54" i="4" s="1"/>
  <c r="L53" i="4"/>
  <c r="H53" i="4"/>
  <c r="J53" i="4" s="1"/>
  <c r="K53" i="4" s="1"/>
  <c r="L52" i="4"/>
  <c r="H52" i="4"/>
  <c r="J52" i="4" s="1"/>
  <c r="K52" i="4" s="1"/>
  <c r="L51" i="4"/>
  <c r="H51" i="4"/>
  <c r="J51" i="4" s="1"/>
  <c r="K51" i="4" s="1"/>
  <c r="L50" i="4"/>
  <c r="H50" i="4"/>
  <c r="J50" i="4" s="1"/>
  <c r="K50" i="4" s="1"/>
  <c r="L49" i="4"/>
  <c r="H49" i="4"/>
  <c r="J49" i="4" s="1"/>
  <c r="K49" i="4" s="1"/>
  <c r="L48" i="4"/>
  <c r="H48" i="4"/>
  <c r="J48" i="4" s="1"/>
  <c r="K48" i="4" s="1"/>
  <c r="L47" i="4"/>
  <c r="H47" i="4"/>
  <c r="J47" i="4" s="1"/>
  <c r="K47" i="4" s="1"/>
  <c r="L46" i="4"/>
  <c r="H46" i="4"/>
  <c r="J46" i="4" s="1"/>
  <c r="K46" i="4" s="1"/>
  <c r="L45" i="4"/>
  <c r="H45" i="4"/>
  <c r="J45" i="4" s="1"/>
  <c r="K45" i="4" s="1"/>
  <c r="L44" i="4"/>
  <c r="H44" i="4"/>
  <c r="J44" i="4" s="1"/>
  <c r="K44" i="4" s="1"/>
  <c r="L43" i="4"/>
  <c r="H43" i="4"/>
  <c r="J43" i="4" s="1"/>
  <c r="K43" i="4" s="1"/>
  <c r="L42" i="4"/>
  <c r="H42" i="4"/>
  <c r="J42" i="4" s="1"/>
  <c r="K42" i="4" s="1"/>
  <c r="L41" i="4"/>
  <c r="H41" i="4"/>
  <c r="J41" i="4" s="1"/>
  <c r="K41" i="4" s="1"/>
  <c r="L40" i="4"/>
  <c r="H40" i="4"/>
  <c r="J40" i="4" s="1"/>
  <c r="K40" i="4" s="1"/>
  <c r="L39" i="4"/>
  <c r="H39" i="4"/>
  <c r="J39" i="4" s="1"/>
  <c r="K39" i="4" s="1"/>
  <c r="L38" i="4"/>
  <c r="H38" i="4"/>
  <c r="J38" i="4" s="1"/>
  <c r="K38" i="4" s="1"/>
  <c r="L37" i="4"/>
  <c r="H37" i="4"/>
  <c r="J37" i="4" s="1"/>
  <c r="K37" i="4" s="1"/>
  <c r="L36" i="4"/>
  <c r="H36" i="4"/>
  <c r="J36" i="4" s="1"/>
  <c r="K36" i="4" s="1"/>
  <c r="L35" i="4"/>
  <c r="H35" i="4"/>
  <c r="J35" i="4" s="1"/>
  <c r="K35" i="4" s="1"/>
  <c r="L34" i="4"/>
  <c r="H34" i="4"/>
  <c r="J34" i="4" s="1"/>
  <c r="K34" i="4" s="1"/>
  <c r="L33" i="4"/>
  <c r="H33" i="4"/>
  <c r="J33" i="4" s="1"/>
  <c r="K33" i="4" s="1"/>
  <c r="L32" i="4"/>
  <c r="H32" i="4"/>
  <c r="J32" i="4" s="1"/>
  <c r="K32" i="4" s="1"/>
  <c r="L31" i="4"/>
  <c r="H31" i="4"/>
  <c r="J31" i="4" s="1"/>
  <c r="K31" i="4" s="1"/>
  <c r="L30" i="4"/>
  <c r="H30" i="4"/>
  <c r="J30" i="4" s="1"/>
  <c r="K30" i="4" s="1"/>
  <c r="L29" i="4"/>
  <c r="H29" i="4"/>
  <c r="J29" i="4" s="1"/>
  <c r="K29" i="4" s="1"/>
  <c r="L28" i="4"/>
  <c r="H28" i="4"/>
  <c r="J28" i="4" s="1"/>
  <c r="K28" i="4" s="1"/>
  <c r="L27" i="4"/>
  <c r="H27" i="4"/>
  <c r="J27" i="4" s="1"/>
  <c r="K27" i="4" s="1"/>
  <c r="L26" i="4"/>
  <c r="H26" i="4"/>
  <c r="J26" i="4" s="1"/>
  <c r="K26" i="4" s="1"/>
  <c r="L25" i="4"/>
  <c r="H25" i="4"/>
  <c r="J25" i="4" s="1"/>
  <c r="K25" i="4" s="1"/>
  <c r="L24" i="4"/>
  <c r="H24" i="4"/>
  <c r="J24" i="4" s="1"/>
  <c r="K24" i="4" s="1"/>
  <c r="L23" i="4"/>
  <c r="H23" i="4"/>
  <c r="J23" i="4" s="1"/>
  <c r="K23" i="4" s="1"/>
  <c r="L22" i="4"/>
  <c r="H22" i="4"/>
  <c r="J22" i="4" s="1"/>
  <c r="K22" i="4" s="1"/>
  <c r="L21" i="4"/>
  <c r="H21" i="4"/>
  <c r="J21" i="4" s="1"/>
  <c r="K21" i="4" s="1"/>
  <c r="L20" i="4"/>
  <c r="H20" i="4"/>
  <c r="J20" i="4" s="1"/>
  <c r="K20" i="4" s="1"/>
  <c r="L19" i="4"/>
  <c r="H19" i="4"/>
  <c r="J19" i="4" s="1"/>
  <c r="K19" i="4" s="1"/>
  <c r="L18" i="4"/>
  <c r="H18" i="4"/>
  <c r="J18" i="4" s="1"/>
  <c r="K18" i="4" s="1"/>
  <c r="L17" i="4"/>
  <c r="H17" i="4"/>
  <c r="J17" i="4" s="1"/>
  <c r="K17" i="4" s="1"/>
  <c r="L16" i="4"/>
  <c r="H16" i="4"/>
  <c r="J16" i="4" s="1"/>
  <c r="K16" i="4" s="1"/>
  <c r="L15" i="4"/>
  <c r="H15" i="4"/>
  <c r="J15" i="4" s="1"/>
  <c r="K15" i="4" s="1"/>
  <c r="L14" i="4"/>
  <c r="H14" i="4"/>
  <c r="J14" i="4" s="1"/>
  <c r="K14" i="4" s="1"/>
  <c r="L13" i="4"/>
  <c r="H13" i="4"/>
  <c r="J13" i="4" s="1"/>
  <c r="K13" i="4" s="1"/>
  <c r="L12" i="4"/>
  <c r="H12" i="4"/>
  <c r="J12" i="4" s="1"/>
  <c r="K12" i="4" s="1"/>
  <c r="L11" i="4"/>
  <c r="H11" i="4"/>
  <c r="J11" i="4" s="1"/>
  <c r="K11" i="4" s="1"/>
  <c r="L10" i="4"/>
  <c r="H10" i="4"/>
  <c r="J10" i="4" s="1"/>
  <c r="K10" i="4" s="1"/>
  <c r="L9" i="4"/>
  <c r="H9" i="4"/>
  <c r="J9" i="4" s="1"/>
  <c r="K9" i="4" s="1"/>
  <c r="L8" i="4"/>
  <c r="H8" i="4"/>
  <c r="J8" i="4" s="1"/>
  <c r="K8" i="4" s="1"/>
  <c r="L7" i="4"/>
  <c r="H7" i="4"/>
  <c r="J7" i="4" s="1"/>
  <c r="K7" i="4" s="1"/>
  <c r="L6" i="4"/>
  <c r="H6" i="4"/>
  <c r="J6" i="4" s="1"/>
  <c r="K6" i="4" s="1"/>
  <c r="L5" i="4"/>
  <c r="H5" i="4"/>
  <c r="J5" i="4" s="1"/>
  <c r="K5" i="4" s="1"/>
  <c r="H23" i="2"/>
  <c r="C23" i="2"/>
  <c r="R22" i="2"/>
  <c r="N22" i="2"/>
  <c r="F22" i="2"/>
  <c r="E22" i="2"/>
  <c r="D22" i="2"/>
  <c r="R21" i="2"/>
  <c r="N21" i="2"/>
  <c r="F21" i="2"/>
  <c r="E21" i="2"/>
  <c r="D21" i="2"/>
  <c r="R20" i="2"/>
  <c r="N20" i="2"/>
  <c r="F20" i="2"/>
  <c r="E20" i="2"/>
  <c r="D20" i="2"/>
  <c r="R19" i="2"/>
  <c r="N19" i="2"/>
  <c r="F19" i="2"/>
  <c r="E19" i="2"/>
  <c r="D19" i="2"/>
  <c r="R18" i="2"/>
  <c r="N18" i="2"/>
  <c r="F18" i="2"/>
  <c r="E18" i="2"/>
  <c r="D18" i="2"/>
  <c r="R17" i="2"/>
  <c r="N17" i="2"/>
  <c r="F17" i="2"/>
  <c r="E17" i="2"/>
  <c r="D17" i="2"/>
  <c r="R16" i="2"/>
  <c r="N16" i="2"/>
  <c r="F16" i="2"/>
  <c r="E16" i="2"/>
  <c r="D16" i="2"/>
  <c r="R15" i="2"/>
  <c r="N15" i="2"/>
  <c r="F15" i="2"/>
  <c r="E15" i="2"/>
  <c r="D15" i="2"/>
  <c r="R14" i="2"/>
  <c r="N14" i="2"/>
  <c r="F14" i="2"/>
  <c r="E14" i="2"/>
  <c r="D14" i="2"/>
  <c r="R13" i="2"/>
  <c r="N13" i="2"/>
  <c r="F13" i="2"/>
  <c r="E13" i="2"/>
  <c r="D13" i="2"/>
  <c r="R12" i="2"/>
  <c r="N12" i="2"/>
  <c r="F12" i="2"/>
  <c r="E12" i="2"/>
  <c r="D12" i="2"/>
  <c r="R11" i="2"/>
  <c r="N11" i="2"/>
  <c r="F11" i="2"/>
  <c r="E11" i="2"/>
  <c r="D11" i="2"/>
  <c r="R10" i="2"/>
  <c r="N10" i="2"/>
  <c r="F10" i="2"/>
  <c r="E10" i="2"/>
  <c r="D10" i="2"/>
  <c r="R9" i="2"/>
  <c r="N9" i="2"/>
  <c r="F9" i="2"/>
  <c r="E9" i="2"/>
  <c r="D9" i="2"/>
  <c r="R8" i="2"/>
  <c r="N8" i="2"/>
  <c r="F8" i="2"/>
  <c r="E8" i="2"/>
  <c r="D8" i="2"/>
  <c r="R7" i="2"/>
  <c r="N7" i="2"/>
  <c r="F7" i="2"/>
  <c r="E7" i="2"/>
  <c r="D7" i="2"/>
  <c r="R6" i="2"/>
  <c r="N6" i="2"/>
  <c r="F6" i="2"/>
  <c r="E6" i="2"/>
  <c r="D6" i="2"/>
  <c r="R5" i="2"/>
  <c r="F5" i="2"/>
  <c r="E5" i="2"/>
  <c r="D5" i="2"/>
  <c r="G22" i="1"/>
  <c r="F22" i="1"/>
  <c r="E22" i="1"/>
  <c r="D22" i="1"/>
  <c r="C22" i="1"/>
  <c r="B22" i="1"/>
  <c r="G21" i="1"/>
  <c r="F21" i="1"/>
  <c r="E21" i="1"/>
  <c r="D21" i="1"/>
  <c r="C21" i="1"/>
  <c r="B21" i="1"/>
  <c r="G16" i="1"/>
  <c r="F16" i="1"/>
  <c r="E16" i="1"/>
  <c r="D16" i="1"/>
  <c r="C16" i="1"/>
  <c r="B16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G8" i="1"/>
  <c r="F23" i="2" l="1"/>
  <c r="I12" i="1"/>
  <c r="I14" i="1"/>
  <c r="N5" i="2"/>
  <c r="N23" i="2" s="1"/>
  <c r="D8" i="1"/>
  <c r="K35" i="5"/>
  <c r="H22" i="1"/>
  <c r="K32" i="5"/>
  <c r="H21" i="1"/>
  <c r="K17" i="5"/>
  <c r="H16" i="1"/>
  <c r="H14" i="1"/>
  <c r="K12" i="5"/>
  <c r="K8" i="5"/>
  <c r="H13" i="1"/>
  <c r="H12" i="1"/>
  <c r="K5" i="5"/>
  <c r="G22" i="2"/>
  <c r="I22" i="2" s="1"/>
  <c r="J22" i="2" s="1"/>
  <c r="K22" i="2" s="1"/>
  <c r="C40" i="5"/>
  <c r="C39" i="5"/>
  <c r="G21" i="2"/>
  <c r="I21" i="2" s="1"/>
  <c r="J21" i="2" s="1"/>
  <c r="K21" i="2" s="1"/>
  <c r="G20" i="2"/>
  <c r="I20" i="2" s="1"/>
  <c r="J20" i="2" s="1"/>
  <c r="K20" i="2" s="1"/>
  <c r="C38" i="5"/>
  <c r="G19" i="2"/>
  <c r="I19" i="2" s="1"/>
  <c r="J19" i="2" s="1"/>
  <c r="K19" i="2" s="1"/>
  <c r="C31" i="5"/>
  <c r="C30" i="5"/>
  <c r="G18" i="2"/>
  <c r="I18" i="2" s="1"/>
  <c r="J18" i="2" s="1"/>
  <c r="K18" i="2" s="1"/>
  <c r="E20" i="1"/>
  <c r="C29" i="5"/>
  <c r="G17" i="2"/>
  <c r="I17" i="2" s="1"/>
  <c r="G16" i="2"/>
  <c r="I16" i="2" s="1"/>
  <c r="J16" i="2" s="1"/>
  <c r="K16" i="2" s="1"/>
  <c r="C28" i="5"/>
  <c r="C27" i="5"/>
  <c r="G15" i="2"/>
  <c r="I15" i="2" s="1"/>
  <c r="J15" i="2" s="1"/>
  <c r="K15" i="2" s="1"/>
  <c r="G14" i="2"/>
  <c r="I14" i="2" s="1"/>
  <c r="J14" i="2" s="1"/>
  <c r="K14" i="2" s="1"/>
  <c r="C26" i="5"/>
  <c r="D18" i="1"/>
  <c r="G13" i="2"/>
  <c r="I13" i="2" s="1"/>
  <c r="J13" i="2" s="1"/>
  <c r="K13" i="2" s="1"/>
  <c r="C25" i="5"/>
  <c r="C18" i="1"/>
  <c r="C24" i="5"/>
  <c r="G12" i="2"/>
  <c r="I12" i="2" s="1"/>
  <c r="J12" i="2" s="1"/>
  <c r="K12" i="2" s="1"/>
  <c r="B18" i="1"/>
  <c r="G11" i="2"/>
  <c r="I11" i="2" s="1"/>
  <c r="C23" i="5"/>
  <c r="D17" i="1"/>
  <c r="G10" i="2"/>
  <c r="I10" i="2" s="1"/>
  <c r="J10" i="2" s="1"/>
  <c r="K10" i="2" s="1"/>
  <c r="C22" i="5"/>
  <c r="C17" i="1"/>
  <c r="G9" i="2"/>
  <c r="I9" i="2" s="1"/>
  <c r="J9" i="2" s="1"/>
  <c r="K9" i="2" s="1"/>
  <c r="C21" i="5"/>
  <c r="C20" i="5"/>
  <c r="G8" i="2"/>
  <c r="I8" i="2" s="1"/>
  <c r="B17" i="1" s="1"/>
  <c r="D15" i="1"/>
  <c r="C16" i="5"/>
  <c r="G7" i="2"/>
  <c r="I7" i="2" s="1"/>
  <c r="J7" i="2" s="1"/>
  <c r="K7" i="2" s="1"/>
  <c r="C15" i="1"/>
  <c r="C15" i="5"/>
  <c r="G6" i="2"/>
  <c r="I6" i="2" s="1"/>
  <c r="J6" i="2" s="1"/>
  <c r="K6" i="2" s="1"/>
  <c r="E23" i="2"/>
  <c r="C14" i="5"/>
  <c r="D23" i="2"/>
  <c r="G5" i="2"/>
  <c r="J11" i="2" l="1"/>
  <c r="K11" i="2" s="1"/>
  <c r="E18" i="1"/>
  <c r="J8" i="2"/>
  <c r="K8" i="2" s="1"/>
  <c r="E17" i="1"/>
  <c r="M22" i="2"/>
  <c r="O22" i="2"/>
  <c r="P22" i="2" s="1"/>
  <c r="D23" i="1"/>
  <c r="F40" i="5"/>
  <c r="G40" i="5" s="1"/>
  <c r="K40" i="5" s="1"/>
  <c r="F39" i="5"/>
  <c r="G39" i="5" s="1"/>
  <c r="K39" i="5" s="1"/>
  <c r="O21" i="2"/>
  <c r="P21" i="2" s="1"/>
  <c r="C23" i="1"/>
  <c r="M21" i="2"/>
  <c r="O20" i="2"/>
  <c r="P20" i="2" s="1"/>
  <c r="M20" i="2"/>
  <c r="G23" i="1" s="1"/>
  <c r="B23" i="1"/>
  <c r="E23" i="1"/>
  <c r="F23" i="1"/>
  <c r="F38" i="5"/>
  <c r="G38" i="5" s="1"/>
  <c r="M19" i="2"/>
  <c r="O19" i="2"/>
  <c r="P19" i="2" s="1"/>
  <c r="D20" i="1"/>
  <c r="F31" i="5"/>
  <c r="G31" i="5"/>
  <c r="K31" i="5" s="1"/>
  <c r="F30" i="5"/>
  <c r="G30" i="5"/>
  <c r="K30" i="5" s="1"/>
  <c r="M18" i="2"/>
  <c r="O18" i="2"/>
  <c r="P18" i="2" s="1"/>
  <c r="C20" i="1"/>
  <c r="F29" i="5"/>
  <c r="G29" i="5" s="1"/>
  <c r="M17" i="2"/>
  <c r="F20" i="1"/>
  <c r="O17" i="2"/>
  <c r="P17" i="2" s="1"/>
  <c r="M16" i="2"/>
  <c r="O16" i="2"/>
  <c r="P16" i="2" s="1"/>
  <c r="D19" i="1"/>
  <c r="F28" i="5"/>
  <c r="G28" i="5" s="1"/>
  <c r="K28" i="5" s="1"/>
  <c r="F27" i="5"/>
  <c r="G27" i="5" s="1"/>
  <c r="K27" i="5" s="1"/>
  <c r="M15" i="2"/>
  <c r="C19" i="1"/>
  <c r="O15" i="2"/>
  <c r="P15" i="2" s="1"/>
  <c r="M14" i="2"/>
  <c r="G19" i="1" s="1"/>
  <c r="E19" i="1"/>
  <c r="O14" i="2"/>
  <c r="P14" i="2" s="1"/>
  <c r="B19" i="1"/>
  <c r="F19" i="1"/>
  <c r="F26" i="5"/>
  <c r="G26" i="5"/>
  <c r="M13" i="2"/>
  <c r="O13" i="2"/>
  <c r="P13" i="2" s="1"/>
  <c r="F25" i="5"/>
  <c r="G25" i="5"/>
  <c r="K25" i="5" s="1"/>
  <c r="F24" i="5"/>
  <c r="G24" i="5"/>
  <c r="K24" i="5" s="1"/>
  <c r="M12" i="2"/>
  <c r="O12" i="2"/>
  <c r="P12" i="2" s="1"/>
  <c r="M11" i="2"/>
  <c r="O11" i="2"/>
  <c r="P11" i="2" s="1"/>
  <c r="F18" i="1"/>
  <c r="F23" i="5"/>
  <c r="G23" i="5"/>
  <c r="M10" i="2"/>
  <c r="O10" i="2"/>
  <c r="P10" i="2" s="1"/>
  <c r="F22" i="5"/>
  <c r="G22" i="5"/>
  <c r="K22" i="5" s="1"/>
  <c r="M9" i="2"/>
  <c r="O9" i="2"/>
  <c r="P9" i="2" s="1"/>
  <c r="F21" i="5"/>
  <c r="G21" i="5"/>
  <c r="K21" i="5" s="1"/>
  <c r="F20" i="5"/>
  <c r="G20" i="5"/>
  <c r="M8" i="2"/>
  <c r="G17" i="1" s="1"/>
  <c r="F17" i="1"/>
  <c r="O8" i="2"/>
  <c r="P8" i="2" s="1"/>
  <c r="F16" i="5"/>
  <c r="G16" i="5"/>
  <c r="K16" i="5" s="1"/>
  <c r="M7" i="2"/>
  <c r="O7" i="2"/>
  <c r="P7" i="2" s="1"/>
  <c r="F15" i="5"/>
  <c r="G15" i="5"/>
  <c r="K15" i="5" s="1"/>
  <c r="M6" i="2"/>
  <c r="O6" i="2"/>
  <c r="P6" i="2" s="1"/>
  <c r="F14" i="5"/>
  <c r="G14" i="5" s="1"/>
  <c r="G23" i="2"/>
  <c r="I5" i="2"/>
  <c r="J17" i="2"/>
  <c r="K17" i="2" s="1"/>
  <c r="B20" i="1"/>
  <c r="K38" i="5" l="1"/>
  <c r="H23" i="1"/>
  <c r="H20" i="1"/>
  <c r="K29" i="5"/>
  <c r="H19" i="1"/>
  <c r="K26" i="5"/>
  <c r="H18" i="1"/>
  <c r="K23" i="5"/>
  <c r="K20" i="5"/>
  <c r="H17" i="1"/>
  <c r="K14" i="5"/>
  <c r="H15" i="1"/>
  <c r="E15" i="1"/>
  <c r="J5" i="2"/>
  <c r="K5" i="2" s="1"/>
  <c r="A8" i="1" s="1"/>
  <c r="B15" i="1"/>
  <c r="M5" i="2"/>
  <c r="F15" i="1"/>
  <c r="O5" i="2"/>
  <c r="I23" i="2"/>
  <c r="G20" i="1"/>
  <c r="G18" i="1"/>
  <c r="M23" i="2" l="1"/>
  <c r="G5" i="1" s="1"/>
  <c r="G15" i="1"/>
  <c r="P5" i="2"/>
  <c r="O23" i="2"/>
  <c r="P23" i="2" s="1"/>
  <c r="J23" i="2"/>
  <c r="A5" i="1"/>
  <c r="D5" i="1" l="1"/>
  <c r="K23" i="2"/>
</calcChain>
</file>

<file path=xl/sharedStrings.xml><?xml version="1.0" encoding="utf-8"?>
<sst xmlns="http://schemas.openxmlformats.org/spreadsheetml/2006/main" count="3063" uniqueCount="167">
  <si>
    <t>Tablero de mermas · Agosto 2026</t>
  </si>
  <si>
    <t>Periodo: Agosto 2026  ·  Generado: 22/09/2026 17:01  ·  Límite SAT: merma ≤ 0.5% de la venta</t>
  </si>
  <si>
    <t>Merma total grupo (L)</t>
  </si>
  <si>
    <t>Merma total grupo %</t>
  </si>
  <si>
    <t>Merma total grupo ($)</t>
  </si>
  <si>
    <t>Combinaciones FUERA</t>
  </si>
  <si>
    <t>Pipas NO registradas</t>
  </si>
  <si>
    <t>Compras sin pipa</t>
  </si>
  <si>
    <t>Merma % mensual por estación y producto</t>
  </si>
  <si>
    <t>Estación</t>
  </si>
  <si>
    <t>Regular</t>
  </si>
  <si>
    <t>Premium</t>
  </si>
  <si>
    <t>Diesel</t>
  </si>
  <si>
    <t>Total estación</t>
  </si>
  <si>
    <t>Merma (L)</t>
  </si>
  <si>
    <t>Merma ($)</t>
  </si>
  <si>
    <t>Compras vs pipas</t>
  </si>
  <si>
    <t>Pipas sin registrar</t>
  </si>
  <si>
    <t>ATB</t>
  </si>
  <si>
    <t>ATP</t>
  </si>
  <si>
    <t>AVE FENIX</t>
  </si>
  <si>
    <t>AURORA</t>
  </si>
  <si>
    <t>COMBULUB</t>
  </si>
  <si>
    <t>HUEHUETOCA</t>
  </si>
  <si>
    <t>QL</t>
  </si>
  <si>
    <t>IXTAZACUALA</t>
  </si>
  <si>
    <t>TREHER</t>
  </si>
  <si>
    <t>TH</t>
  </si>
  <si>
    <t>TOREMEX</t>
  </si>
  <si>
    <t>TEOLOYUCAN</t>
  </si>
  <si>
    <t>Semáforo:</t>
  </si>
  <si>
    <t>Verde: |merma| ≤ 0.40 %</t>
  </si>
  <si>
    <t>Amarillo: 0.40 % – 0.50 %</t>
  </si>
  <si>
    <t>Rojo: &gt; 0.50 % (fuera SAT)</t>
  </si>
  <si>
    <t>s/d: sin reporte de mermas</t>
  </si>
  <si>
    <t>Negativo = faltante de combustible · Positivo = sobrante. Los umbrales se cambian en la hoja Parámetros.</t>
  </si>
  <si>
    <t>Mermas mensuales por estación y producto</t>
  </si>
  <si>
    <t>Producto</t>
  </si>
  <si>
    <t>Sdo. Inicial
(1er día)</t>
  </si>
  <si>
    <t>Compras</t>
  </si>
  <si>
    <t>Ventas</t>
  </si>
  <si>
    <t>Ajustes</t>
  </si>
  <si>
    <t>Sdo. Final
(teórico)</t>
  </si>
  <si>
    <t>Sdo. Real
(último día)</t>
  </si>
  <si>
    <t>Merma %</t>
  </si>
  <si>
    <t>Estado</t>
  </si>
  <si>
    <t>Costo prom.
pipas ($/L)</t>
  </si>
  <si>
    <t>Pipas NO
registradas (L)</t>
  </si>
  <si>
    <t>Merma ajustada
(L)</t>
  </si>
  <si>
    <t>Merma %
ajustada</t>
  </si>
  <si>
    <t>Etiqueta
gráfica</t>
  </si>
  <si>
    <t>TOTAL GRUPO</t>
  </si>
  <si>
    <t>Merma = Sdo. Real − Sdo. Final;  Sdo. Final = Sdo. Inicial + Compras − Ventas + Ajustes;  Merma % = Merma / Ventas.  Negativo = faltante, positivo = sobrante.</t>
  </si>
  <si>
    <t>Costo prom. = promedio ponderado del CTO UNIT de las pipas del mes (dato del Excel de pipas); Merma ($) = Merma (L) × Costo prom.</t>
  </si>
  <si>
    <t>Merma ajustada = Merma − litros de pipas NO registradas: si una pipa llegó físicamente pero no se capturó, aparece como sobrante. Es un indicador de apoyo; el oficial es Merma %.</t>
  </si>
  <si>
    <t>Compras incluye lo capturado en la hoja Registros manuales.</t>
  </si>
  <si>
    <t>Compras registradas en mermas que no se encontraron en PIPAS DEL MES</t>
  </si>
  <si>
    <t>Fecha</t>
  </si>
  <si>
    <t>Litros</t>
  </si>
  <si>
    <t>Nota</t>
  </si>
  <si>
    <t>✔ Todas las compras del reporte de mermas tienen una pipa que las respalda.</t>
  </si>
  <si>
    <t>Detalle diario de mermas</t>
  </si>
  <si>
    <t>Sdo. Inicial</t>
  </si>
  <si>
    <t>Sdo. Final</t>
  </si>
  <si>
    <t>Sdo. Real</t>
  </si>
  <si>
    <t>Merma</t>
  </si>
  <si>
    <t>Compras
manuales</t>
  </si>
  <si>
    <t>Conciliación de compras: Reporte de mermas vs PIPAS DEL MES</t>
  </si>
  <si>
    <t>Compras
reporte mermas (L)</t>
  </si>
  <si>
    <t>Litros
PIPAS DEL MES</t>
  </si>
  <si>
    <t># Pipas</t>
  </si>
  <si>
    <t>Diferencia (L)
mermas − pipas</t>
  </si>
  <si>
    <t>Pipas no
registradas</t>
  </si>
  <si>
    <t>Pipas con
desfase</t>
  </si>
  <si>
    <t>Compras
sin pipa</t>
  </si>
  <si>
    <t>Comentario</t>
  </si>
  <si>
    <t>Sin reporte</t>
  </si>
  <si>
    <t>Detalle pipa por pipa (PIPAS DEL MES vs registro en mermas)</t>
  </si>
  <si>
    <t>Factura</t>
  </si>
  <si>
    <t>BOL</t>
  </si>
  <si>
    <t>Fecha BOL</t>
  </si>
  <si>
    <t>Transportista</t>
  </si>
  <si>
    <t>Costo unit.</t>
  </si>
  <si>
    <t>Fecha registro
en mermas</t>
  </si>
  <si>
    <t>Desfase
(días)</t>
  </si>
  <si>
    <t>Importe ($)</t>
  </si>
  <si>
    <t>En periodo
del reporte</t>
  </si>
  <si>
    <t>Estado original
(sin registros manuales)</t>
  </si>
  <si>
    <t>TCMC</t>
  </si>
  <si>
    <t>SIN REPORTE DE MERMAS</t>
  </si>
  <si>
    <t>Sí</t>
  </si>
  <si>
    <t>BENZIN</t>
  </si>
  <si>
    <t>OK - mismo día</t>
  </si>
  <si>
    <t>Registrada con desfase de +2 día(s)</t>
  </si>
  <si>
    <t>Registrada con desfase de +1 día(s)</t>
  </si>
  <si>
    <t>Registrada con desfase de +3 día(s) — FUERA DE TOLERANCIA ±2</t>
  </si>
  <si>
    <t>NO REGISTRADA (posible registro en el mes siguiente)</t>
  </si>
  <si>
    <t>FUERA DEL PERIODO DEL REPORTE (el reporte de mermas inicia el 03/08)</t>
  </si>
  <si>
    <t>No</t>
  </si>
  <si>
    <t>Registros manuales de pipas</t>
  </si>
  <si>
    <t>Captura aquí las pipas que faltaban por registrar (celdas amarillas). Todo el libro se recalcula solo; no hay que volver a correr el script.</t>
  </si>
  <si>
    <t>Fecha registro</t>
  </si>
  <si>
    <t>Factura
(opcional)</t>
  </si>
  <si>
    <t>Resultado</t>
  </si>
  <si>
    <t>Fecha registro = día del reporte de mermas en que se suma la compra. Con Factura, se liga a esa pipa; sin Factura, se busca una pipa NO REGISTRADA de la misma estación/producto con esos litros (± tolerancia de Parámetros).</t>
  </si>
  <si>
    <t>Parámetros</t>
  </si>
  <si>
    <t>Cambia los valores en amarillo y todo el libro se recalcula</t>
  </si>
  <si>
    <t>Parámetro</t>
  </si>
  <si>
    <t>Valor</t>
  </si>
  <si>
    <t>Descripción</t>
  </si>
  <si>
    <t>Límite SAT merma / venta</t>
  </si>
  <si>
    <t>Arriba de este % el foco es ROJO (FUERA)</t>
  </si>
  <si>
    <t>Umbral de alerta</t>
  </si>
  <si>
    <t>Entre este % y el límite el foco es AMARILLO (ALERTA)</t>
  </si>
  <si>
    <t>Ventana de desfase (días)</t>
  </si>
  <si>
    <t>Días ± entre fecha BOL y registro en mermas (se usó al generar)</t>
  </si>
  <si>
    <t>Tolerancia por pipa (L)</t>
  </si>
  <si>
    <t>Diferencia máxima en litros para considerar que una pipa cuadra</t>
  </si>
  <si>
    <t>Umbral salto diario (L)</t>
  </si>
  <si>
    <t>|Merma diaria| mayor a esto = posible pipa registrada en otro día</t>
  </si>
  <si>
    <t>Notas, metodología y avisos</t>
  </si>
  <si>
    <t>Metodología</t>
  </si>
  <si>
    <t>• Merma diaria = Sdo. Real − Sdo. Final, con Sdo. Final = Sdo. Inicial + Compras − Ventas + Ajustes (igual que el reporte del sistema).</t>
  </si>
  <si>
    <t>• Merma mensual = suma de las mermas diarias = Sdo. Real del último día − (Sdo. Inicial del 1er día + Compras − Ventas + Ajustes). Merma % mensual = Merma mensual / Ventas del mes.</t>
  </si>
  <si>
    <t>• El % mensual es el indicador confiable: las mermas diarias se distorsionan cuando una pipa se registra un día distinto a su descarga (se ve como +30,000 L un día y −30,000 L al siguiente).</t>
  </si>
  <si>
    <t>• Conciliación: primero se compara el total de compras del reporte de mermas contra el total de PIPAS DEL MES por estación y producto; después se busca cada pipa en las compras diarias, primero el mismo día y luego hasta ±N días (Parámetros). Una compra puede corresponder a la suma de 2+ pipas del mismo día.</t>
  </si>
  <si>
    <t>• Desfase = Fecha de registro en mermas − Fecha BOL. Positivo = se registró después de la fecha de la factura.</t>
  </si>
  <si>
    <t>• Costo promedio = promedio ponderado del CTO UNIT de las pipas del mes; Merma ($) = Merma (L) × costo promedio.</t>
  </si>
  <si>
    <t>• Registros manuales: lo que captures en la hoja 'Registros manuales' se suma a Compras (columna Compras manuales de Detalle diario) en la fecha indicada, y la pipa correspondiente pasa de NO REGISTRADA a REGISTRO MANUAL. Mermas, semáforos, conciliación y resumen se recalculan solos. La hoja 'Compras sin pipa' es la lista original del sistema; los registros manuales sin pipa se ven en la columna Resultado de 'Registros manuales'.</t>
  </si>
  <si>
    <t>Equivalencias de nombres (PIPAS → estación oficial)</t>
  </si>
  <si>
    <t>• TREHER T  →  TREHER</t>
  </si>
  <si>
    <t>• ATEPO  →  ATP</t>
  </si>
  <si>
    <t>• AVE. FENIX  →  AVE FENIX</t>
  </si>
  <si>
    <t>• AVEFENIX  →  AVE FENIX</t>
  </si>
  <si>
    <t>Archivos procesados</t>
  </si>
  <si>
    <t>• Pipas: PIPAS DEL MES.xlsx</t>
  </si>
  <si>
    <t>• Mermas: AURORA - Diesel.CSV</t>
  </si>
  <si>
    <t>• Mermas: AURORA - Premium 91 octanos.CSV</t>
  </si>
  <si>
    <t>• Mermas: AURORA- Regular 87 octanos.CSV</t>
  </si>
  <si>
    <t>• Mermas: HUEHUETOCA- Premium 91 octanos.CSV</t>
  </si>
  <si>
    <t>• Mermas: HUEHUETOCA- Regular 87 octanos.CSV</t>
  </si>
  <si>
    <t>• Mermas: HUEHUETOCA-Diesel.CSV</t>
  </si>
  <si>
    <t>• Mermas: IXTAZACUALA- Diesel.CSV</t>
  </si>
  <si>
    <t>• Mermas: IXTAZACUALA- Premium 91 octanos.CSV</t>
  </si>
  <si>
    <t>• Mermas: IXTAZACUALA- Regular 87 octanos.CSV</t>
  </si>
  <si>
    <t>• Mermas: QL - Diesel.CSV</t>
  </si>
  <si>
    <t>• Mermas: QL - Regular 87 octanos.CSV</t>
  </si>
  <si>
    <t>• Mermas: QL- Premium 91 octanos.CSV</t>
  </si>
  <si>
    <t>• Mermas: TEOLOYUCAN - Diesel.CSV</t>
  </si>
  <si>
    <t>• Mermas: TEOLOYUCAN - Premium 91 octanos.CSV</t>
  </si>
  <si>
    <t>• Mermas: TEOLOYUCAN - Regular 87 octanos.CSV</t>
  </si>
  <si>
    <t>• Mermas: TREHER - Premium 91 octanos.CSV</t>
  </si>
  <si>
    <t>• Mermas: TREHER - Regular 87 octanos.CSV</t>
  </si>
  <si>
    <t>• Mermas: TREHER- Diesel.CSV</t>
  </si>
  <si>
    <t>Avisos de calidad de datos</t>
  </si>
  <si>
    <t>• IXTAZACUALA Diesel: el reporte inicia el 03/08 (no trae los primeros días del mes). Las pipas anteriores a esa fecha se marcan FUERA DEL PERIODO.</t>
  </si>
  <si>
    <t>• IXTAZACUALA Diesel: el 03/08 el Sdo. Inicial viene en 0 y el inventario de arranque se capturó como Ajuste (38,703 L).</t>
  </si>
  <si>
    <t>• IXTAZACUALA Premium: el reporte inicia el 03/08 (no trae los primeros días del mes). Las pipas anteriores a esa fecha se marcan FUERA DEL PERIODO.</t>
  </si>
  <si>
    <t>• IXTAZACUALA Premium: el 03/08 el Sdo. Inicial viene en 0 y el inventario de arranque se capturó como Ajuste (27,932 L).</t>
  </si>
  <si>
    <t>• IXTAZACUALA Regular: el reporte inicia el 03/08 (no trae los primeros días del mes). Las pipas anteriores a esa fecha se marcan FUERA DEL PERIODO.</t>
  </si>
  <si>
    <t>• IXTAZACUALA Regular: el 03/08 el Sdo. Inicial viene en 0 y el inventario de arranque se capturó como Ajuste (51,578 L).</t>
  </si>
  <si>
    <t>• TREHER Premium: el reporte inicia el 03/08 (no trae los primeros días del mes). Las pipas anteriores a esa fecha se marcan FUERA DEL PERIODO.</t>
  </si>
  <si>
    <t>• TREHER Premium: el 03/08 el Sdo. Inicial venía en 0, lo que generaba una 'merma' ficticia de +18,774 L. Se tomó como saldo inicial el inventario real de ese día (Sdo. Real + Ventas − Compras). Corrige el arranque en el sistema.</t>
  </si>
  <si>
    <t>• TREHER Regular: el reporte inicia el 03/08 (no trae los primeros días del mes). Las pipas anteriores a esa fecha se marcan FUERA DEL PERIODO.</t>
  </si>
  <si>
    <t>• TREHER Regular: el 03/08 el Sdo. Inicial venía en 0, lo que generaba una 'merma' ficticia de +103,989 L. Se tomó como saldo inicial el inventario real de ese día (Sdo. Real + Ventas − Compras). Corrige el arranque en el sistema.</t>
  </si>
  <si>
    <t>• TREHER Diesel: el reporte inicia el 03/08 (no trae los primeros días del mes). Las pipas anteriores a esa fecha se marcan FUERA DEL PERIODO.</t>
  </si>
  <si>
    <t>• TREHER Diesel: el 03/08 el Sdo. Inicial venía en 0, lo que generaba una 'merma' ficticia de +33,527 L. Se tomó como saldo inicial el inventario real de ese día (Sdo. Real + Ventas − Compras). Corrige el arranque en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</si>
</sst>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%;[Red]\-0.00%;0.00%"/>
    <numFmt numFmtId="166" formatCode="#,##0.00;[Red]\-#,##0.00;&quot;-&quot;"/>
    <numFmt numFmtId="167" formatCode="\$#,##0.00"/>
    <numFmt numFmtId="168" formatCode="\$#,##0;[Red]\-\$#,##0;&quot;-&quot;"/>
    <numFmt numFmtId="169" formatCode="#,##0;[Red]\-#,##0;&quot;-&quot;"/>
    <numFmt numFmtId="170" formatCode="\$#,##0.0000"/>
    <numFmt numFmtId="171" formatCode="\+0;\-0;0"/>
  </numFmts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0000FF"/>
      <name val="Arial"/>
    </font>
    <font>
      <sz val="10"/>
      <color rgb="FF0000FF"/>
      <name val="Arial"/>
    </font>
    <font>
      <i/>
      <sz val="9"/>
      <name val="Arial"/>
    </font>
    <font>
      <sz val="10"/>
      <color rgb="FF008000"/>
      <name val="Arial"/>
    </font>
    <font>
      <sz val="9"/>
      <color rgb="FF7F7F7F"/>
      <name val="Arial"/>
    </font>
    <font>
      <b/>
      <sz val="11"/>
      <color rgb="FF006100"/>
      <name val="Arial"/>
    </font>
    <font>
      <b/>
      <sz val="9"/>
      <color rgb="FF595959"/>
      <name val="Arial"/>
    </font>
    <font>
      <b/>
      <sz val="18"/>
      <color rgb="FF1F3864"/>
      <name val="Arial"/>
    </font>
    <font>
      <b/>
      <sz val="12"/>
      <color rgb="FF1F3864"/>
      <name val="Arial"/>
    </font>
    <font>
      <b/>
      <sz val="9"/>
      <name val="Arial"/>
    </font>
    <font>
      <b/>
      <sz val="9"/>
      <color rgb="FF006100"/>
      <name val="Arial"/>
    </font>
    <font>
      <b/>
      <sz val="9"/>
      <color rgb="FF9C5700"/>
      <name val="Arial"/>
    </font>
    <font>
      <b/>
      <sz val="9"/>
      <color rgb="FF9C0006"/>
      <name val="Arial"/>
    </font>
    <font>
      <sz val="8"/>
      <color rgb="FFA6A6A6"/>
      <name val="Arial"/>
    </font>
    <font>
      <b/>
      <sz val="11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1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5" fillId="0" borderId="0" xfId="0" applyFont="1"/>
    <xf numFmtId="0" fontId="8" fillId="0" borderId="0" xfId="0" applyFont="1"/>
    <xf numFmtId="0" fontId="19" fillId="0" borderId="0" xfId="0" applyFont="1"/>
    <xf numFmtId="0" fontId="5" fillId="0" borderId="1" xfId="0" applyFont="1" applyBorder="1"/>
    <xf numFmtId="166" fontId="5" fillId="0" borderId="1" xfId="0" applyNumberFormat="1" applyFont="1" applyBorder="1"/>
    <xf numFmtId="166" fontId="4" fillId="0" borderId="1" xfId="0" applyNumberFormat="1" applyFont="1" applyBorder="1"/>
    <xf numFmtId="164" fontId="4" fillId="0" borderId="1" xfId="0" applyNumberFormat="1" applyFont="1" applyBorder="1"/>
    <xf numFmtId="167" fontId="7" fillId="0" borderId="1" xfId="0" applyNumberFormat="1" applyFont="1" applyBorder="1"/>
    <xf numFmtId="168" fontId="5" fillId="0" borderId="1" xfId="0" applyNumberFormat="1" applyFont="1" applyBorder="1"/>
    <xf numFmtId="169" fontId="5" fillId="0" borderId="1" xfId="0" applyNumberFormat="1" applyFont="1" applyBorder="1"/>
    <xf numFmtId="164" fontId="5" fillId="0" borderId="1" xfId="0" applyNumberFormat="1" applyFont="1" applyBorder="1"/>
    <xf numFmtId="0" fontId="4" fillId="5" borderId="1" xfId="0" applyFont="1" applyFill="1" applyBorder="1"/>
    <xf numFmtId="0" fontId="5" fillId="5" borderId="1" xfId="0" applyFont="1" applyFill="1" applyBorder="1"/>
    <xf numFmtId="166" fontId="4" fillId="5" borderId="1" xfId="0" applyNumberFormat="1" applyFont="1" applyFill="1" applyBorder="1"/>
    <xf numFmtId="164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8" fontId="4" fillId="5" borderId="1" xfId="0" applyNumberFormat="1" applyFont="1" applyFill="1" applyBorder="1"/>
    <xf numFmtId="0" fontId="11" fillId="0" borderId="0" xfId="0" applyFont="1"/>
    <xf numFmtId="14" fontId="5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/>
    <xf numFmtId="170" fontId="5" fillId="0" borderId="1" xfId="0" applyNumberFormat="1" applyFont="1" applyBorder="1"/>
    <xf numFmtId="171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7" fillId="4" borderId="1" xfId="0" applyFont="1" applyFill="1" applyBorder="1"/>
    <xf numFmtId="14" fontId="7" fillId="4" borderId="1" xfId="0" applyNumberFormat="1" applyFont="1" applyFill="1" applyBorder="1"/>
    <xf numFmtId="3" fontId="7" fillId="4" borderId="1" xfId="0" applyNumberFormat="1" applyFont="1" applyFill="1" applyBorder="1"/>
    <xf numFmtId="0" fontId="7" fillId="6" borderId="1" xfId="0" applyFont="1" applyFill="1" applyBorder="1"/>
    <xf numFmtId="164" fontId="6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20" fillId="0" borderId="0" xfId="0" applyFont="1"/>
    <xf numFmtId="0" fontId="5" fillId="0" borderId="0" xfId="0" applyFont="1" applyAlignment="1">
      <alignment vertical="top" wrapText="1"/>
    </xf>
    <xf numFmtId="0" fontId="17" fillId="9" borderId="0" xfId="0" applyFont="1" applyFill="1" applyAlignment="1">
      <alignment horizontal="center"/>
    </xf>
    <xf numFmtId="0" fontId="0" fillId="0" borderId="0" xfId="0"/>
    <xf numFmtId="0" fontId="12" fillId="7" borderId="0" xfId="0" applyFont="1" applyFill="1" applyAlignment="1">
      <alignment horizontal="center"/>
    </xf>
    <xf numFmtId="164" fontId="13" fillId="7" borderId="0" xfId="0" applyNumberFormat="1" applyFont="1" applyFill="1" applyAlignment="1">
      <alignment horizontal="center" vertical="center"/>
    </xf>
    <xf numFmtId="0" fontId="0" fillId="7" borderId="0" xfId="0" applyFill="1"/>
    <xf numFmtId="166" fontId="13" fillId="7" borderId="0" xfId="0" applyNumberFormat="1" applyFont="1" applyFill="1" applyAlignment="1">
      <alignment horizontal="center" vertical="center"/>
    </xf>
    <xf numFmtId="168" fontId="13" fillId="7" borderId="0" xfId="0" applyNumberFormat="1" applyFont="1" applyFill="1" applyAlignment="1">
      <alignment horizontal="center" vertical="center"/>
    </xf>
    <xf numFmtId="1" fontId="13" fillId="7" borderId="0" xfId="0" applyNumberFormat="1" applyFont="1" applyFill="1" applyAlignment="1">
      <alignment horizontal="center" vertical="center"/>
    </xf>
    <xf numFmtId="0" fontId="16" fillId="8" borderId="0" xfId="0" applyFont="1" applyFill="1" applyAlignment="1">
      <alignment horizontal="center"/>
    </xf>
    <xf numFmtId="0" fontId="18" fillId="10" borderId="0" xfId="0" applyFont="1" applyFill="1" applyAlignment="1">
      <alignment horizontal="center"/>
    </xf>
  </cellXfs>
  <cellStyles count="1">
    <cellStyle name="Normal" xfId="0" builtinId="0"/>
  </cellStyles>
  <dxfs count="45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595959"/>
      </font>
      <fill>
        <patternFill patternType="solid">
          <fgColor rgb="FFF2F2F2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595959"/>
      </font>
      <fill>
        <patternFill patternType="solid">
          <fgColor rgb="FFF2F2F2"/>
        </patternFill>
      </fill>
    </dxf>
    <dxf>
      <font>
        <b/>
        <color rgb="FF833C0B"/>
      </font>
      <fill>
        <patternFill patternType="solid">
          <fgColor rgb="FFF8CBAD"/>
        </patternFill>
      </fill>
    </dxf>
    <dxf>
      <font>
        <b/>
        <color rgb="FF1F4E79"/>
      </font>
      <fill>
        <patternFill patternType="solid">
          <fgColor rgb="FFDDEBF7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595959"/>
      </font>
      <fill>
        <patternFill patternType="solid">
          <fgColor rgb="FFF2F2F2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1F4E79"/>
      </font>
      <fill>
        <patternFill patternType="solid">
          <fgColor rgb="FFDDEBF7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595959"/>
      </font>
      <fill>
        <patternFill patternType="solid">
          <fgColor rgb="FFF2F2F2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sz val="18"/>
        <color rgb="FF9C0006"/>
      </font>
    </dxf>
    <dxf>
      <font>
        <b/>
        <sz val="18"/>
        <color rgb="FF9C0006"/>
      </font>
    </dxf>
    <dxf>
      <font>
        <b/>
        <sz val="18"/>
        <color rgb="FF9C0006"/>
      </font>
    </dxf>
    <dxf>
      <font>
        <i/>
        <color rgb="FFA6A6A6"/>
      </font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5700"/>
      </font>
      <fill>
        <patternFill patternType="solid">
          <fgColor rgb="FFFFEB9C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sz val="18"/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MX"/>
              <a:t>Merma % por estación y producto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'Mermas mensual'!$J$4</c:f>
              <c:strCache>
                <c:ptCount val="1"/>
                <c:pt idx="0">
                  <c:v>Merma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'Mermas mensual'!$R$5:$R$22</c:f>
              <c:strCache>
                <c:ptCount val="18"/>
                <c:pt idx="0">
                  <c:v>AURORA · Regular</c:v>
                </c:pt>
                <c:pt idx="1">
                  <c:v>AURORA · Premium</c:v>
                </c:pt>
                <c:pt idx="2">
                  <c:v>AURORA · Diesel</c:v>
                </c:pt>
                <c:pt idx="3">
                  <c:v>HUEHUETOCA · Regular</c:v>
                </c:pt>
                <c:pt idx="4">
                  <c:v>HUEHUETOCA · Premium</c:v>
                </c:pt>
                <c:pt idx="5">
                  <c:v>HUEHUETOCA · Diesel</c:v>
                </c:pt>
                <c:pt idx="6">
                  <c:v>QL · Regular</c:v>
                </c:pt>
                <c:pt idx="7">
                  <c:v>QL · Premium</c:v>
                </c:pt>
                <c:pt idx="8">
                  <c:v>QL · Diesel</c:v>
                </c:pt>
                <c:pt idx="9">
                  <c:v>IXTAZACUALA · Regular</c:v>
                </c:pt>
                <c:pt idx="10">
                  <c:v>IXTAZACUALA · Premium</c:v>
                </c:pt>
                <c:pt idx="11">
                  <c:v>IXTAZACUALA · Diesel</c:v>
                </c:pt>
                <c:pt idx="12">
                  <c:v>TREHER · Regular</c:v>
                </c:pt>
                <c:pt idx="13">
                  <c:v>TREHER · Premium</c:v>
                </c:pt>
                <c:pt idx="14">
                  <c:v>TREHER · Diesel</c:v>
                </c:pt>
                <c:pt idx="15">
                  <c:v>TEOLOYUCAN · Regular</c:v>
                </c:pt>
                <c:pt idx="16">
                  <c:v>TEOLOYUCAN · Premium</c:v>
                </c:pt>
                <c:pt idx="17">
                  <c:v>TEOLOYUCAN · Diesel</c:v>
                </c:pt>
              </c:strCache>
            </c:strRef>
          </c:cat>
          <c:val>
            <c:numRef>
              <c:f>'Mermas mensual'!$J$5:$J$22</c:f>
              <c:numCache>
                <c:formatCode>0.00%;[Red]\-0.00%;0.00%</c:formatCode>
                <c:ptCount val="18"/>
                <c:pt idx="0">
                  <c:v>4.4792953613255852E-2</c:v>
                </c:pt>
                <c:pt idx="1">
                  <c:v>-6.5614898913359566E-3</c:v>
                </c:pt>
                <c:pt idx="2">
                  <c:v>1.7236446990184652E-3</c:v>
                </c:pt>
                <c:pt idx="3">
                  <c:v>-5.4329434231970572E-3</c:v>
                </c:pt>
                <c:pt idx="4">
                  <c:v>-2.9814637222719221E-3</c:v>
                </c:pt>
                <c:pt idx="5">
                  <c:v>-4.2455339260879686E-3</c:v>
                </c:pt>
                <c:pt idx="6">
                  <c:v>-4.7053511879691489E-3</c:v>
                </c:pt>
                <c:pt idx="7">
                  <c:v>-6.490883057913145E-3</c:v>
                </c:pt>
                <c:pt idx="8">
                  <c:v>6.387010942996609E-3</c:v>
                </c:pt>
                <c:pt idx="9">
                  <c:v>-5.5998103907905815E-3</c:v>
                </c:pt>
                <c:pt idx="10">
                  <c:v>-9.4117741649622187E-3</c:v>
                </c:pt>
                <c:pt idx="11">
                  <c:v>1.855600668871231E-4</c:v>
                </c:pt>
                <c:pt idx="12">
                  <c:v>-6.0210825823588986E-3</c:v>
                </c:pt>
                <c:pt idx="13">
                  <c:v>-9.948302704898342E-3</c:v>
                </c:pt>
                <c:pt idx="14">
                  <c:v>-1.6687179935510276E-3</c:v>
                </c:pt>
                <c:pt idx="15">
                  <c:v>2.0096157138255105E-2</c:v>
                </c:pt>
                <c:pt idx="16">
                  <c:v>3.5197495250173079E-2</c:v>
                </c:pt>
                <c:pt idx="17">
                  <c:v>5.1166725674003186E-3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1-4960-BCFC-FB89FF487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Merma % de la venta</a:t>
                </a:r>
              </a:p>
            </c:rich>
          </c:tx>
          <c:overlay val="1"/>
        </c:title>
        <c:numFmt formatCode="0.0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6480000" cy="543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I26"/>
  <sheetViews>
    <sheetView showGridLines="0" tabSelected="1" workbookViewId="0">
      <selection activeCell="J17" sqref="J17"/>
    </sheetView>
  </sheetViews>
  <sheetFormatPr baseColWidth="10" defaultColWidth="8.88671875" defaultRowHeight="14.4" x14ac:dyDescent="0.3"/>
  <cols>
    <col min="1" max="1" width="16" customWidth="1"/>
    <col min="2" max="9" width="15" customWidth="1"/>
  </cols>
  <sheetData>
    <row r="1" spans="1:9" ht="25.9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3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3">
      <c r="A4" s="47" t="s">
        <v>2</v>
      </c>
      <c r="B4" s="49"/>
      <c r="C4" s="49"/>
      <c r="D4" s="47" t="s">
        <v>3</v>
      </c>
      <c r="E4" s="49"/>
      <c r="F4" s="49"/>
      <c r="G4" s="47" t="s">
        <v>4</v>
      </c>
      <c r="H4" s="49"/>
      <c r="I4" s="49"/>
    </row>
    <row r="5" spans="1:9" ht="30" customHeight="1" x14ac:dyDescent="0.3">
      <c r="A5" s="50">
        <f>'Mermas mensual'!I23</f>
        <v>26324.109999999921</v>
      </c>
      <c r="B5" s="49"/>
      <c r="C5" s="49"/>
      <c r="D5" s="48">
        <f>'Mermas mensual'!J23</f>
        <v>4.895476945594876E-3</v>
      </c>
      <c r="E5" s="49"/>
      <c r="F5" s="49"/>
      <c r="G5" s="51">
        <f>'Mermas mensual'!M23</f>
        <v>509745.68862299784</v>
      </c>
      <c r="H5" s="49"/>
      <c r="I5" s="49"/>
    </row>
    <row r="7" spans="1:9" x14ac:dyDescent="0.3">
      <c r="A7" s="47" t="s">
        <v>5</v>
      </c>
      <c r="B7" s="49"/>
      <c r="C7" s="49"/>
      <c r="D7" s="47" t="s">
        <v>6</v>
      </c>
      <c r="E7" s="49"/>
      <c r="F7" s="49"/>
      <c r="G7" s="47" t="s">
        <v>7</v>
      </c>
      <c r="H7" s="49"/>
      <c r="I7" s="49"/>
    </row>
    <row r="8" spans="1:9" ht="30" customHeight="1" x14ac:dyDescent="0.3">
      <c r="A8" s="52">
        <f>COUNTIF('Mermas mensual'!K5:K22,"FUERA")</f>
        <v>12</v>
      </c>
      <c r="B8" s="49"/>
      <c r="C8" s="49"/>
      <c r="D8" s="52">
        <f>COUNTIF('Detalle pipas'!L5:L281,"NO REGISTRADA*")</f>
        <v>1</v>
      </c>
      <c r="E8" s="49"/>
      <c r="F8" s="49"/>
      <c r="G8" s="52">
        <f>COUNTA('Compras sin pipa'!D5:D5)+COUNTIF('Registros manuales'!$G$5:$G$104,"SIN PIPA*")</f>
        <v>0</v>
      </c>
      <c r="H8" s="49"/>
      <c r="I8" s="49"/>
    </row>
    <row r="10" spans="1:9" ht="15.6" x14ac:dyDescent="0.3">
      <c r="A10" s="4" t="s">
        <v>8</v>
      </c>
    </row>
    <row r="11" spans="1:9" ht="30" customHeight="1" x14ac:dyDescent="0.3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  <c r="I11" s="5" t="s">
        <v>17</v>
      </c>
    </row>
    <row r="12" spans="1:9" x14ac:dyDescent="0.3">
      <c r="A12" s="6" t="s">
        <v>18</v>
      </c>
      <c r="B12" s="7" t="str">
        <f>IF(COUNTIFS('Mermas mensual'!$A$5:$A$22,$A12,'Mermas mensual'!$B$5:$B$22,"Regular")=0,"s/d",IF(SUMIFS('Mermas mensual'!$E$5:$E$22,'Mermas mensual'!$A$5:$A$22,$A12,'Mermas mensual'!$B$5:$B$22,"Regular")=0,0,SUMIFS('Mermas mensual'!$I$5:$I$22,'Mermas mensual'!$A$5:$A$22,$A12,'Mermas mensual'!$B$5:$B$22,"Regular")/SUMIFS('Mermas mensual'!$E$5:$E$22,'Mermas mensual'!$A$5:$A$22,$A12,'Mermas mensual'!$B$5:$B$22,"Regular")))</f>
        <v>s/d</v>
      </c>
      <c r="C12" s="7" t="str">
        <f>IF(COUNTIFS('Mermas mensual'!$A$5:$A$22,$A12,'Mermas mensual'!$B$5:$B$22,"Premium")=0,"s/d",IF(SUMIFS('Mermas mensual'!$E$5:$E$22,'Mermas mensual'!$A$5:$A$22,$A12,'Mermas mensual'!$B$5:$B$22,"Premium")=0,0,SUMIFS('Mermas mensual'!$I$5:$I$22,'Mermas mensual'!$A$5:$A$22,$A12,'Mermas mensual'!$B$5:$B$22,"Premium")/SUMIFS('Mermas mensual'!$E$5:$E$22,'Mermas mensual'!$A$5:$A$22,$A12,'Mermas mensual'!$B$5:$B$22,"Premium")))</f>
        <v>s/d</v>
      </c>
      <c r="D12" s="7" t="str">
        <f>IF(COUNTIFS('Mermas mensual'!$A$5:$A$22,$A12,'Mermas mensual'!$B$5:$B$22,"Diesel")=0,"s/d",IF(SUMIFS('Mermas mensual'!$E$5:$E$22,'Mermas mensual'!$A$5:$A$22,$A12,'Mermas mensual'!$B$5:$B$22,"Diesel")=0,0,SUMIFS('Mermas mensual'!$I$5:$I$22,'Mermas mensual'!$A$5:$A$22,$A12,'Mermas mensual'!$B$5:$B$22,"Diesel")/SUMIFS('Mermas mensual'!$E$5:$E$22,'Mermas mensual'!$A$5:$A$22,$A12,'Mermas mensual'!$B$5:$B$22,"Diesel")))</f>
        <v>s/d</v>
      </c>
      <c r="E12" s="8" t="str">
        <f>IF(COUNTIF('Mermas mensual'!$A$5:$A$22,$A12)=0,"s/d",IF(SUMIFS('Mermas mensual'!$E$5:$E$22,'Mermas mensual'!$A$5:$A$22,$A12)=0,0,SUMIFS('Mermas mensual'!$I$5:$I$22,'Mermas mensual'!$A$5:$A$22,$A12)/SUMIFS('Mermas mensual'!$E$5:$E$22,'Mermas mensual'!$A$5:$A$22,$A12)))</f>
        <v>s/d</v>
      </c>
      <c r="F12" s="9" t="str">
        <f>IF(COUNTIF('Mermas mensual'!$A$5:$A$22,$A12)=0,"s/d",SUMIFS('Mermas mensual'!$I$5:$I$22,'Mermas mensual'!$A$5:$A$22,$A12))</f>
        <v>s/d</v>
      </c>
      <c r="G12" s="10" t="str">
        <f>IF(COUNTIF('Mermas mensual'!$A$5:$A$22,$A12)=0,"s/d",SUMIFS('Mermas mensual'!$M$5:$M$22,'Mermas mensual'!$A$5:$A$22,$A12))</f>
        <v>s/d</v>
      </c>
      <c r="H12" s="11" t="str">
        <f>IF(COUNTIFS('Conciliación pipas'!$A$5:$A$40,$A12,'Conciliación pipas'!$G$5:$G$40,"NO CUADRA")&gt;0,"NO CUADRA",IF(COUNTIFS('Conciliación pipas'!$A$5:$A$40,$A12,'Conciliación pipas'!$G$5:$G$40,"CUADRA")&gt;0,IF(COUNTIFS('Conciliación pipas'!$A$5:$A$40,$A12,'Conciliación pipas'!$G$5:$G$40,"SIN REPORTE")&gt;0,"PARCIAL","CUADRA"),IF(COUNTIF('Conciliación pipas'!$A$5:$A$40,$A12)=0,"s/d","SIN REPORTE")))</f>
        <v>SIN REPORTE</v>
      </c>
      <c r="I12" s="12">
        <f>SUMIFS('Conciliación pipas'!$H$5:$H$40,'Conciliación pipas'!$A$5:$A$40,$A12)</f>
        <v>0</v>
      </c>
    </row>
    <row r="13" spans="1:9" x14ac:dyDescent="0.3">
      <c r="A13" s="6" t="s">
        <v>19</v>
      </c>
      <c r="B13" s="7" t="str">
        <f>IF(COUNTIFS('Mermas mensual'!$A$5:$A$22,$A13,'Mermas mensual'!$B$5:$B$22,"Regular")=0,"s/d",IF(SUMIFS('Mermas mensual'!$E$5:$E$22,'Mermas mensual'!$A$5:$A$22,$A13,'Mermas mensual'!$B$5:$B$22,"Regular")=0,0,SUMIFS('Mermas mensual'!$I$5:$I$22,'Mermas mensual'!$A$5:$A$22,$A13,'Mermas mensual'!$B$5:$B$22,"Regular")/SUMIFS('Mermas mensual'!$E$5:$E$22,'Mermas mensual'!$A$5:$A$22,$A13,'Mermas mensual'!$B$5:$B$22,"Regular")))</f>
        <v>s/d</v>
      </c>
      <c r="C13" s="7" t="str">
        <f>IF(COUNTIFS('Mermas mensual'!$A$5:$A$22,$A13,'Mermas mensual'!$B$5:$B$22,"Premium")=0,"s/d",IF(SUMIFS('Mermas mensual'!$E$5:$E$22,'Mermas mensual'!$A$5:$A$22,$A13,'Mermas mensual'!$B$5:$B$22,"Premium")=0,0,SUMIFS('Mermas mensual'!$I$5:$I$22,'Mermas mensual'!$A$5:$A$22,$A13,'Mermas mensual'!$B$5:$B$22,"Premium")/SUMIFS('Mermas mensual'!$E$5:$E$22,'Mermas mensual'!$A$5:$A$22,$A13,'Mermas mensual'!$B$5:$B$22,"Premium")))</f>
        <v>s/d</v>
      </c>
      <c r="D13" s="7" t="str">
        <f>IF(COUNTIFS('Mermas mensual'!$A$5:$A$22,$A13,'Mermas mensual'!$B$5:$B$22,"Diesel")=0,"s/d",IF(SUMIFS('Mermas mensual'!$E$5:$E$22,'Mermas mensual'!$A$5:$A$22,$A13,'Mermas mensual'!$B$5:$B$22,"Diesel")=0,0,SUMIFS('Mermas mensual'!$I$5:$I$22,'Mermas mensual'!$A$5:$A$22,$A13,'Mermas mensual'!$B$5:$B$22,"Diesel")/SUMIFS('Mermas mensual'!$E$5:$E$22,'Mermas mensual'!$A$5:$A$22,$A13,'Mermas mensual'!$B$5:$B$22,"Diesel")))</f>
        <v>s/d</v>
      </c>
      <c r="E13" s="8" t="str">
        <f>IF(COUNTIF('Mermas mensual'!$A$5:$A$22,$A13)=0,"s/d",IF(SUMIFS('Mermas mensual'!$E$5:$E$22,'Mermas mensual'!$A$5:$A$22,$A13)=0,0,SUMIFS('Mermas mensual'!$I$5:$I$22,'Mermas mensual'!$A$5:$A$22,$A13)/SUMIFS('Mermas mensual'!$E$5:$E$22,'Mermas mensual'!$A$5:$A$22,$A13)))</f>
        <v>s/d</v>
      </c>
      <c r="F13" s="9" t="str">
        <f>IF(COUNTIF('Mermas mensual'!$A$5:$A$22,$A13)=0,"s/d",SUMIFS('Mermas mensual'!$I$5:$I$22,'Mermas mensual'!$A$5:$A$22,$A13))</f>
        <v>s/d</v>
      </c>
      <c r="G13" s="10" t="str">
        <f>IF(COUNTIF('Mermas mensual'!$A$5:$A$22,$A13)=0,"s/d",SUMIFS('Mermas mensual'!$M$5:$M$22,'Mermas mensual'!$A$5:$A$22,$A13))</f>
        <v>s/d</v>
      </c>
      <c r="H13" s="11" t="str">
        <f>IF(COUNTIFS('Conciliación pipas'!$A$5:$A$40,$A13,'Conciliación pipas'!$G$5:$G$40,"NO CUADRA")&gt;0,"NO CUADRA",IF(COUNTIFS('Conciliación pipas'!$A$5:$A$40,$A13,'Conciliación pipas'!$G$5:$G$40,"CUADRA")&gt;0,IF(COUNTIFS('Conciliación pipas'!$A$5:$A$40,$A13,'Conciliación pipas'!$G$5:$G$40,"SIN REPORTE")&gt;0,"PARCIAL","CUADRA"),IF(COUNTIF('Conciliación pipas'!$A$5:$A$40,$A13)=0,"s/d","SIN REPORTE")))</f>
        <v>SIN REPORTE</v>
      </c>
      <c r="I13" s="12">
        <f>SUMIFS('Conciliación pipas'!$H$5:$H$40,'Conciliación pipas'!$A$5:$A$40,$A13)</f>
        <v>0</v>
      </c>
    </row>
    <row r="14" spans="1:9" x14ac:dyDescent="0.3">
      <c r="A14" s="6" t="s">
        <v>20</v>
      </c>
      <c r="B14" s="7" t="str">
        <f>IF(COUNTIFS('Mermas mensual'!$A$5:$A$22,$A14,'Mermas mensual'!$B$5:$B$22,"Regular")=0,"s/d",IF(SUMIFS('Mermas mensual'!$E$5:$E$22,'Mermas mensual'!$A$5:$A$22,$A14,'Mermas mensual'!$B$5:$B$22,"Regular")=0,0,SUMIFS('Mermas mensual'!$I$5:$I$22,'Mermas mensual'!$A$5:$A$22,$A14,'Mermas mensual'!$B$5:$B$22,"Regular")/SUMIFS('Mermas mensual'!$E$5:$E$22,'Mermas mensual'!$A$5:$A$22,$A14,'Mermas mensual'!$B$5:$B$22,"Regular")))</f>
        <v>s/d</v>
      </c>
      <c r="C14" s="7" t="str">
        <f>IF(COUNTIFS('Mermas mensual'!$A$5:$A$22,$A14,'Mermas mensual'!$B$5:$B$22,"Premium")=0,"s/d",IF(SUMIFS('Mermas mensual'!$E$5:$E$22,'Mermas mensual'!$A$5:$A$22,$A14,'Mermas mensual'!$B$5:$B$22,"Premium")=0,0,SUMIFS('Mermas mensual'!$I$5:$I$22,'Mermas mensual'!$A$5:$A$22,$A14,'Mermas mensual'!$B$5:$B$22,"Premium")/SUMIFS('Mermas mensual'!$E$5:$E$22,'Mermas mensual'!$A$5:$A$22,$A14,'Mermas mensual'!$B$5:$B$22,"Premium")))</f>
        <v>s/d</v>
      </c>
      <c r="D14" s="7" t="str">
        <f>IF(COUNTIFS('Mermas mensual'!$A$5:$A$22,$A14,'Mermas mensual'!$B$5:$B$22,"Diesel")=0,"s/d",IF(SUMIFS('Mermas mensual'!$E$5:$E$22,'Mermas mensual'!$A$5:$A$22,$A14,'Mermas mensual'!$B$5:$B$22,"Diesel")=0,0,SUMIFS('Mermas mensual'!$I$5:$I$22,'Mermas mensual'!$A$5:$A$22,$A14,'Mermas mensual'!$B$5:$B$22,"Diesel")/SUMIFS('Mermas mensual'!$E$5:$E$22,'Mermas mensual'!$A$5:$A$22,$A14,'Mermas mensual'!$B$5:$B$22,"Diesel")))</f>
        <v>s/d</v>
      </c>
      <c r="E14" s="8" t="str">
        <f>IF(COUNTIF('Mermas mensual'!$A$5:$A$22,$A14)=0,"s/d",IF(SUMIFS('Mermas mensual'!$E$5:$E$22,'Mermas mensual'!$A$5:$A$22,$A14)=0,0,SUMIFS('Mermas mensual'!$I$5:$I$22,'Mermas mensual'!$A$5:$A$22,$A14)/SUMIFS('Mermas mensual'!$E$5:$E$22,'Mermas mensual'!$A$5:$A$22,$A14)))</f>
        <v>s/d</v>
      </c>
      <c r="F14" s="9" t="str">
        <f>IF(COUNTIF('Mermas mensual'!$A$5:$A$22,$A14)=0,"s/d",SUMIFS('Mermas mensual'!$I$5:$I$22,'Mermas mensual'!$A$5:$A$22,$A14))</f>
        <v>s/d</v>
      </c>
      <c r="G14" s="10" t="str">
        <f>IF(COUNTIF('Mermas mensual'!$A$5:$A$22,$A14)=0,"s/d",SUMIFS('Mermas mensual'!$M$5:$M$22,'Mermas mensual'!$A$5:$A$22,$A14))</f>
        <v>s/d</v>
      </c>
      <c r="H14" s="11" t="str">
        <f>IF(COUNTIFS('Conciliación pipas'!$A$5:$A$40,$A14,'Conciliación pipas'!$G$5:$G$40,"NO CUADRA")&gt;0,"NO CUADRA",IF(COUNTIFS('Conciliación pipas'!$A$5:$A$40,$A14,'Conciliación pipas'!$G$5:$G$40,"CUADRA")&gt;0,IF(COUNTIFS('Conciliación pipas'!$A$5:$A$40,$A14,'Conciliación pipas'!$G$5:$G$40,"SIN REPORTE")&gt;0,"PARCIAL","CUADRA"),IF(COUNTIF('Conciliación pipas'!$A$5:$A$40,$A14)=0,"s/d","SIN REPORTE")))</f>
        <v>SIN REPORTE</v>
      </c>
      <c r="I14" s="12">
        <f>SUMIFS('Conciliación pipas'!$H$5:$H$40,'Conciliación pipas'!$A$5:$A$40,$A14)</f>
        <v>0</v>
      </c>
    </row>
    <row r="15" spans="1:9" x14ac:dyDescent="0.3">
      <c r="A15" s="6" t="s">
        <v>21</v>
      </c>
      <c r="B15" s="7">
        <f>IF(COUNTIFS('Mermas mensual'!$A$5:$A$22,$A15,'Mermas mensual'!$B$5:$B$22,"Regular")=0,"s/d",IF(SUMIFS('Mermas mensual'!$E$5:$E$22,'Mermas mensual'!$A$5:$A$22,$A15,'Mermas mensual'!$B$5:$B$22,"Regular")=0,0,SUMIFS('Mermas mensual'!$I$5:$I$22,'Mermas mensual'!$A$5:$A$22,$A15,'Mermas mensual'!$B$5:$B$22,"Regular")/SUMIFS('Mermas mensual'!$E$5:$E$22,'Mermas mensual'!$A$5:$A$22,$A15,'Mermas mensual'!$B$5:$B$22,"Regular")))</f>
        <v>4.4792953613255852E-2</v>
      </c>
      <c r="C15" s="7">
        <f>IF(COUNTIFS('Mermas mensual'!$A$5:$A$22,$A15,'Mermas mensual'!$B$5:$B$22,"Premium")=0,"s/d",IF(SUMIFS('Mermas mensual'!$E$5:$E$22,'Mermas mensual'!$A$5:$A$22,$A15,'Mermas mensual'!$B$5:$B$22,"Premium")=0,0,SUMIFS('Mermas mensual'!$I$5:$I$22,'Mermas mensual'!$A$5:$A$22,$A15,'Mermas mensual'!$B$5:$B$22,"Premium")/SUMIFS('Mermas mensual'!$E$5:$E$22,'Mermas mensual'!$A$5:$A$22,$A15,'Mermas mensual'!$B$5:$B$22,"Premium")))</f>
        <v>-6.5614898913359566E-3</v>
      </c>
      <c r="D15" s="7">
        <f>IF(COUNTIFS('Mermas mensual'!$A$5:$A$22,$A15,'Mermas mensual'!$B$5:$B$22,"Diesel")=0,"s/d",IF(SUMIFS('Mermas mensual'!$E$5:$E$22,'Mermas mensual'!$A$5:$A$22,$A15,'Mermas mensual'!$B$5:$B$22,"Diesel")=0,0,SUMIFS('Mermas mensual'!$I$5:$I$22,'Mermas mensual'!$A$5:$A$22,$A15,'Mermas mensual'!$B$5:$B$22,"Diesel")/SUMIFS('Mermas mensual'!$E$5:$E$22,'Mermas mensual'!$A$5:$A$22,$A15,'Mermas mensual'!$B$5:$B$22,"Diesel")))</f>
        <v>1.7236446990184652E-3</v>
      </c>
      <c r="E15" s="8">
        <f>IF(COUNTIF('Mermas mensual'!$A$5:$A$22,$A15)=0,"s/d",IF(SUMIFS('Mermas mensual'!$E$5:$E$22,'Mermas mensual'!$A$5:$A$22,$A15)=0,0,SUMIFS('Mermas mensual'!$I$5:$I$22,'Mermas mensual'!$A$5:$A$22,$A15)/SUMIFS('Mermas mensual'!$E$5:$E$22,'Mermas mensual'!$A$5:$A$22,$A15)))</f>
        <v>2.927028485804516E-2</v>
      </c>
      <c r="F15" s="9">
        <f>IF(COUNTIF('Mermas mensual'!$A$5:$A$22,$A15)=0,"s/d",SUMIFS('Mermas mensual'!$I$5:$I$22,'Mermas mensual'!$A$5:$A$22,$A15))</f>
        <v>29187.440000000042</v>
      </c>
      <c r="G15" s="10">
        <f>IF(COUNTIF('Mermas mensual'!$A$5:$A$22,$A15)=0,"s/d",SUMIFS('Mermas mensual'!$M$5:$M$22,'Mermas mensual'!$A$5:$A$22,$A15))</f>
        <v>553962.05071600061</v>
      </c>
      <c r="H15" s="11" t="str">
        <f>IF(COUNTIFS('Conciliación pipas'!$A$5:$A$40,$A15,'Conciliación pipas'!$G$5:$G$40,"NO CUADRA")&gt;0,"NO CUADRA",IF(COUNTIFS('Conciliación pipas'!$A$5:$A$40,$A15,'Conciliación pipas'!$G$5:$G$40,"CUADRA")&gt;0,IF(COUNTIFS('Conciliación pipas'!$A$5:$A$40,$A15,'Conciliación pipas'!$G$5:$G$40,"SIN REPORTE")&gt;0,"PARCIAL","CUADRA"),IF(COUNTIF('Conciliación pipas'!$A$5:$A$40,$A15)=0,"s/d","SIN REPORTE")))</f>
        <v>NO CUADRA</v>
      </c>
      <c r="I15" s="12">
        <f>SUMIFS('Conciliación pipas'!$H$5:$H$40,'Conciliación pipas'!$A$5:$A$40,$A15)</f>
        <v>1</v>
      </c>
    </row>
    <row r="16" spans="1:9" x14ac:dyDescent="0.3">
      <c r="A16" s="6" t="s">
        <v>22</v>
      </c>
      <c r="B16" s="7" t="str">
        <f>IF(COUNTIFS('Mermas mensual'!$A$5:$A$22,$A16,'Mermas mensual'!$B$5:$B$22,"Regular")=0,"s/d",IF(SUMIFS('Mermas mensual'!$E$5:$E$22,'Mermas mensual'!$A$5:$A$22,$A16,'Mermas mensual'!$B$5:$B$22,"Regular")=0,0,SUMIFS('Mermas mensual'!$I$5:$I$22,'Mermas mensual'!$A$5:$A$22,$A16,'Mermas mensual'!$B$5:$B$22,"Regular")/SUMIFS('Mermas mensual'!$E$5:$E$22,'Mermas mensual'!$A$5:$A$22,$A16,'Mermas mensual'!$B$5:$B$22,"Regular")))</f>
        <v>s/d</v>
      </c>
      <c r="C16" s="7" t="str">
        <f>IF(COUNTIFS('Mermas mensual'!$A$5:$A$22,$A16,'Mermas mensual'!$B$5:$B$22,"Premium")=0,"s/d",IF(SUMIFS('Mermas mensual'!$E$5:$E$22,'Mermas mensual'!$A$5:$A$22,$A16,'Mermas mensual'!$B$5:$B$22,"Premium")=0,0,SUMIFS('Mermas mensual'!$I$5:$I$22,'Mermas mensual'!$A$5:$A$22,$A16,'Mermas mensual'!$B$5:$B$22,"Premium")/SUMIFS('Mermas mensual'!$E$5:$E$22,'Mermas mensual'!$A$5:$A$22,$A16,'Mermas mensual'!$B$5:$B$22,"Premium")))</f>
        <v>s/d</v>
      </c>
      <c r="D16" s="7" t="str">
        <f>IF(COUNTIFS('Mermas mensual'!$A$5:$A$22,$A16,'Mermas mensual'!$B$5:$B$22,"Diesel")=0,"s/d",IF(SUMIFS('Mermas mensual'!$E$5:$E$22,'Mermas mensual'!$A$5:$A$22,$A16,'Mermas mensual'!$B$5:$B$22,"Diesel")=0,0,SUMIFS('Mermas mensual'!$I$5:$I$22,'Mermas mensual'!$A$5:$A$22,$A16,'Mermas mensual'!$B$5:$B$22,"Diesel")/SUMIFS('Mermas mensual'!$E$5:$E$22,'Mermas mensual'!$A$5:$A$22,$A16,'Mermas mensual'!$B$5:$B$22,"Diesel")))</f>
        <v>s/d</v>
      </c>
      <c r="E16" s="8" t="str">
        <f>IF(COUNTIF('Mermas mensual'!$A$5:$A$22,$A16)=0,"s/d",IF(SUMIFS('Mermas mensual'!$E$5:$E$22,'Mermas mensual'!$A$5:$A$22,$A16)=0,0,SUMIFS('Mermas mensual'!$I$5:$I$22,'Mermas mensual'!$A$5:$A$22,$A16)/SUMIFS('Mermas mensual'!$E$5:$E$22,'Mermas mensual'!$A$5:$A$22,$A16)))</f>
        <v>s/d</v>
      </c>
      <c r="F16" s="9" t="str">
        <f>IF(COUNTIF('Mermas mensual'!$A$5:$A$22,$A16)=0,"s/d",SUMIFS('Mermas mensual'!$I$5:$I$22,'Mermas mensual'!$A$5:$A$22,$A16))</f>
        <v>s/d</v>
      </c>
      <c r="G16" s="10" t="str">
        <f>IF(COUNTIF('Mermas mensual'!$A$5:$A$22,$A16)=0,"s/d",SUMIFS('Mermas mensual'!$M$5:$M$22,'Mermas mensual'!$A$5:$A$22,$A16))</f>
        <v>s/d</v>
      </c>
      <c r="H16" s="11" t="str">
        <f>IF(COUNTIFS('Conciliación pipas'!$A$5:$A$40,$A16,'Conciliación pipas'!$G$5:$G$40,"NO CUADRA")&gt;0,"NO CUADRA",IF(COUNTIFS('Conciliación pipas'!$A$5:$A$40,$A16,'Conciliación pipas'!$G$5:$G$40,"CUADRA")&gt;0,IF(COUNTIFS('Conciliación pipas'!$A$5:$A$40,$A16,'Conciliación pipas'!$G$5:$G$40,"SIN REPORTE")&gt;0,"PARCIAL","CUADRA"),IF(COUNTIF('Conciliación pipas'!$A$5:$A$40,$A16)=0,"s/d","SIN REPORTE")))</f>
        <v>SIN REPORTE</v>
      </c>
      <c r="I16" s="12">
        <f>SUMIFS('Conciliación pipas'!$H$5:$H$40,'Conciliación pipas'!$A$5:$A$40,$A16)</f>
        <v>0</v>
      </c>
    </row>
    <row r="17" spans="1:9" x14ac:dyDescent="0.3">
      <c r="A17" s="6" t="s">
        <v>23</v>
      </c>
      <c r="B17" s="7">
        <f>IF(COUNTIFS('Mermas mensual'!$A$5:$A$22,$A17,'Mermas mensual'!$B$5:$B$22,"Regular")=0,"s/d",IF(SUMIFS('Mermas mensual'!$E$5:$E$22,'Mermas mensual'!$A$5:$A$22,$A17,'Mermas mensual'!$B$5:$B$22,"Regular")=0,0,SUMIFS('Mermas mensual'!$I$5:$I$22,'Mermas mensual'!$A$5:$A$22,$A17,'Mermas mensual'!$B$5:$B$22,"Regular")/SUMIFS('Mermas mensual'!$E$5:$E$22,'Mermas mensual'!$A$5:$A$22,$A17,'Mermas mensual'!$B$5:$B$22,"Regular")))</f>
        <v>-5.4329434231970572E-3</v>
      </c>
      <c r="C17" s="7">
        <f>IF(COUNTIFS('Mermas mensual'!$A$5:$A$22,$A17,'Mermas mensual'!$B$5:$B$22,"Premium")=0,"s/d",IF(SUMIFS('Mermas mensual'!$E$5:$E$22,'Mermas mensual'!$A$5:$A$22,$A17,'Mermas mensual'!$B$5:$B$22,"Premium")=0,0,SUMIFS('Mermas mensual'!$I$5:$I$22,'Mermas mensual'!$A$5:$A$22,$A17,'Mermas mensual'!$B$5:$B$22,"Premium")/SUMIFS('Mermas mensual'!$E$5:$E$22,'Mermas mensual'!$A$5:$A$22,$A17,'Mermas mensual'!$B$5:$B$22,"Premium")))</f>
        <v>-2.9814637222719221E-3</v>
      </c>
      <c r="D17" s="7">
        <f>IF(COUNTIFS('Mermas mensual'!$A$5:$A$22,$A17,'Mermas mensual'!$B$5:$B$22,"Diesel")=0,"s/d",IF(SUMIFS('Mermas mensual'!$E$5:$E$22,'Mermas mensual'!$A$5:$A$22,$A17,'Mermas mensual'!$B$5:$B$22,"Diesel")=0,0,SUMIFS('Mermas mensual'!$I$5:$I$22,'Mermas mensual'!$A$5:$A$22,$A17,'Mermas mensual'!$B$5:$B$22,"Diesel")/SUMIFS('Mermas mensual'!$E$5:$E$22,'Mermas mensual'!$A$5:$A$22,$A17,'Mermas mensual'!$B$5:$B$22,"Diesel")))</f>
        <v>-4.2455339260879686E-3</v>
      </c>
      <c r="E17" s="8">
        <f>IF(COUNTIF('Mermas mensual'!$A$5:$A$22,$A17)=0,"s/d",IF(SUMIFS('Mermas mensual'!$E$5:$E$22,'Mermas mensual'!$A$5:$A$22,$A17)=0,0,SUMIFS('Mermas mensual'!$I$5:$I$22,'Mermas mensual'!$A$5:$A$22,$A17)/SUMIFS('Mermas mensual'!$E$5:$E$22,'Mermas mensual'!$A$5:$A$22,$A17)))</f>
        <v>-4.8737038182026793E-3</v>
      </c>
      <c r="F17" s="9">
        <f>IF(COUNTIF('Mermas mensual'!$A$5:$A$22,$A17)=0,"s/d",SUMIFS('Mermas mensual'!$I$5:$I$22,'Mermas mensual'!$A$5:$A$22,$A17))</f>
        <v>-3857.8499999999694</v>
      </c>
      <c r="G17" s="10">
        <f>IF(COUNTIF('Mermas mensual'!$A$5:$A$22,$A17)=0,"s/d",SUMIFS('Mermas mensual'!$M$5:$M$22,'Mermas mensual'!$A$5:$A$22,$A17))</f>
        <v>-76454.130377999303</v>
      </c>
      <c r="H17" s="11" t="str">
        <f>IF(COUNTIFS('Conciliación pipas'!$A$5:$A$40,$A17,'Conciliación pipas'!$G$5:$G$40,"NO CUADRA")&gt;0,"NO CUADRA",IF(COUNTIFS('Conciliación pipas'!$A$5:$A$40,$A17,'Conciliación pipas'!$G$5:$G$40,"CUADRA")&gt;0,IF(COUNTIFS('Conciliación pipas'!$A$5:$A$40,$A17,'Conciliación pipas'!$G$5:$G$40,"SIN REPORTE")&gt;0,"PARCIAL","CUADRA"),IF(COUNTIF('Conciliación pipas'!$A$5:$A$40,$A17)=0,"s/d","SIN REPORTE")))</f>
        <v>CUADRA</v>
      </c>
      <c r="I17" s="12">
        <f>SUMIFS('Conciliación pipas'!$H$5:$H$40,'Conciliación pipas'!$A$5:$A$40,$A17)</f>
        <v>0</v>
      </c>
    </row>
    <row r="18" spans="1:9" x14ac:dyDescent="0.3">
      <c r="A18" s="6" t="s">
        <v>24</v>
      </c>
      <c r="B18" s="7">
        <f>IF(COUNTIFS('Mermas mensual'!$A$5:$A$22,$A18,'Mermas mensual'!$B$5:$B$22,"Regular")=0,"s/d",IF(SUMIFS('Mermas mensual'!$E$5:$E$22,'Mermas mensual'!$A$5:$A$22,$A18,'Mermas mensual'!$B$5:$B$22,"Regular")=0,0,SUMIFS('Mermas mensual'!$I$5:$I$22,'Mermas mensual'!$A$5:$A$22,$A18,'Mermas mensual'!$B$5:$B$22,"Regular")/SUMIFS('Mermas mensual'!$E$5:$E$22,'Mermas mensual'!$A$5:$A$22,$A18,'Mermas mensual'!$B$5:$B$22,"Regular")))</f>
        <v>-4.7053511879691489E-3</v>
      </c>
      <c r="C18" s="7">
        <f>IF(COUNTIFS('Mermas mensual'!$A$5:$A$22,$A18,'Mermas mensual'!$B$5:$B$22,"Premium")=0,"s/d",IF(SUMIFS('Mermas mensual'!$E$5:$E$22,'Mermas mensual'!$A$5:$A$22,$A18,'Mermas mensual'!$B$5:$B$22,"Premium")=0,0,SUMIFS('Mermas mensual'!$I$5:$I$22,'Mermas mensual'!$A$5:$A$22,$A18,'Mermas mensual'!$B$5:$B$22,"Premium")/SUMIFS('Mermas mensual'!$E$5:$E$22,'Mermas mensual'!$A$5:$A$22,$A18,'Mermas mensual'!$B$5:$B$22,"Premium")))</f>
        <v>-6.490883057913145E-3</v>
      </c>
      <c r="D18" s="7">
        <f>IF(COUNTIFS('Mermas mensual'!$A$5:$A$22,$A18,'Mermas mensual'!$B$5:$B$22,"Diesel")=0,"s/d",IF(SUMIFS('Mermas mensual'!$E$5:$E$22,'Mermas mensual'!$A$5:$A$22,$A18,'Mermas mensual'!$B$5:$B$22,"Diesel")=0,0,SUMIFS('Mermas mensual'!$I$5:$I$22,'Mermas mensual'!$A$5:$A$22,$A18,'Mermas mensual'!$B$5:$B$22,"Diesel")/SUMIFS('Mermas mensual'!$E$5:$E$22,'Mermas mensual'!$A$5:$A$22,$A18,'Mermas mensual'!$B$5:$B$22,"Diesel")))</f>
        <v>6.387010942996609E-3</v>
      </c>
      <c r="E18" s="8">
        <f>IF(COUNTIF('Mermas mensual'!$A$5:$A$22,$A18)=0,"s/d",IF(SUMIFS('Mermas mensual'!$E$5:$E$22,'Mermas mensual'!$A$5:$A$22,$A18)=0,0,SUMIFS('Mermas mensual'!$I$5:$I$22,'Mermas mensual'!$A$5:$A$22,$A18)/SUMIFS('Mermas mensual'!$E$5:$E$22,'Mermas mensual'!$A$5:$A$22,$A18)))</f>
        <v>5.2847198992631635E-4</v>
      </c>
      <c r="F18" s="9">
        <f>IF(COUNTIF('Mermas mensual'!$A$5:$A$22,$A18)=0,"s/d",SUMIFS('Mermas mensual'!$I$5:$I$22,'Mermas mensual'!$A$5:$A$22,$A18))</f>
        <v>978.87999999988097</v>
      </c>
      <c r="G18" s="10">
        <f>IF(COUNTIF('Mermas mensual'!$A$5:$A$22,$A18)=0,"s/d",SUMIFS('Mermas mensual'!$M$5:$M$22,'Mermas mensual'!$A$5:$A$22,$A18))</f>
        <v>28014.58562099711</v>
      </c>
      <c r="H18" s="11" t="str">
        <f>IF(COUNTIFS('Conciliación pipas'!$A$5:$A$40,$A18,'Conciliación pipas'!$G$5:$G$40,"NO CUADRA")&gt;0,"NO CUADRA",IF(COUNTIFS('Conciliación pipas'!$A$5:$A$40,$A18,'Conciliación pipas'!$G$5:$G$40,"CUADRA")&gt;0,IF(COUNTIFS('Conciliación pipas'!$A$5:$A$40,$A18,'Conciliación pipas'!$G$5:$G$40,"SIN REPORTE")&gt;0,"PARCIAL","CUADRA"),IF(COUNTIF('Conciliación pipas'!$A$5:$A$40,$A18)=0,"s/d","SIN REPORTE")))</f>
        <v>CUADRA</v>
      </c>
      <c r="I18" s="12">
        <f>SUMIFS('Conciliación pipas'!$H$5:$H$40,'Conciliación pipas'!$A$5:$A$40,$A18)</f>
        <v>0</v>
      </c>
    </row>
    <row r="19" spans="1:9" x14ac:dyDescent="0.3">
      <c r="A19" s="6" t="s">
        <v>25</v>
      </c>
      <c r="B19" s="7">
        <f>IF(COUNTIFS('Mermas mensual'!$A$5:$A$22,$A19,'Mermas mensual'!$B$5:$B$22,"Regular")=0,"s/d",IF(SUMIFS('Mermas mensual'!$E$5:$E$22,'Mermas mensual'!$A$5:$A$22,$A19,'Mermas mensual'!$B$5:$B$22,"Regular")=0,0,SUMIFS('Mermas mensual'!$I$5:$I$22,'Mermas mensual'!$A$5:$A$22,$A19,'Mermas mensual'!$B$5:$B$22,"Regular")/SUMIFS('Mermas mensual'!$E$5:$E$22,'Mermas mensual'!$A$5:$A$22,$A19,'Mermas mensual'!$B$5:$B$22,"Regular")))</f>
        <v>-5.5998103907905815E-3</v>
      </c>
      <c r="C19" s="7">
        <f>IF(COUNTIFS('Mermas mensual'!$A$5:$A$22,$A19,'Mermas mensual'!$B$5:$B$22,"Premium")=0,"s/d",IF(SUMIFS('Mermas mensual'!$E$5:$E$22,'Mermas mensual'!$A$5:$A$22,$A19,'Mermas mensual'!$B$5:$B$22,"Premium")=0,0,SUMIFS('Mermas mensual'!$I$5:$I$22,'Mermas mensual'!$A$5:$A$22,$A19,'Mermas mensual'!$B$5:$B$22,"Premium")/SUMIFS('Mermas mensual'!$E$5:$E$22,'Mermas mensual'!$A$5:$A$22,$A19,'Mermas mensual'!$B$5:$B$22,"Premium")))</f>
        <v>-9.4117741649622187E-3</v>
      </c>
      <c r="D19" s="7">
        <f>IF(COUNTIFS('Mermas mensual'!$A$5:$A$22,$A19,'Mermas mensual'!$B$5:$B$22,"Diesel")=0,"s/d",IF(SUMIFS('Mermas mensual'!$E$5:$E$22,'Mermas mensual'!$A$5:$A$22,$A19,'Mermas mensual'!$B$5:$B$22,"Diesel")=0,0,SUMIFS('Mermas mensual'!$I$5:$I$22,'Mermas mensual'!$A$5:$A$22,$A19,'Mermas mensual'!$B$5:$B$22,"Diesel")/SUMIFS('Mermas mensual'!$E$5:$E$22,'Mermas mensual'!$A$5:$A$22,$A19,'Mermas mensual'!$B$5:$B$22,"Diesel")))</f>
        <v>1.855600668871231E-4</v>
      </c>
      <c r="E19" s="8">
        <f>IF(COUNTIF('Mermas mensual'!$A$5:$A$22,$A19)=0,"s/d",IF(SUMIFS('Mermas mensual'!$E$5:$E$22,'Mermas mensual'!$A$5:$A$22,$A19)=0,0,SUMIFS('Mermas mensual'!$I$5:$I$22,'Mermas mensual'!$A$5:$A$22,$A19)/SUMIFS('Mermas mensual'!$E$5:$E$22,'Mermas mensual'!$A$5:$A$22,$A19)))</f>
        <v>-3.3777985757816858E-3</v>
      </c>
      <c r="F19" s="9">
        <f>IF(COUNTIF('Mermas mensual'!$A$5:$A$22,$A19)=0,"s/d",SUMIFS('Mermas mensual'!$I$5:$I$22,'Mermas mensual'!$A$5:$A$22,$A19))</f>
        <v>-2427.3399999999747</v>
      </c>
      <c r="G19" s="10">
        <f>IF(COUNTIF('Mermas mensual'!$A$5:$A$22,$A19)=0,"s/d",SUMIFS('Mermas mensual'!$M$5:$M$22,'Mermas mensual'!$A$5:$A$22,$A19))</f>
        <v>-48130.659000999454</v>
      </c>
      <c r="H19" s="11" t="str">
        <f>IF(COUNTIFS('Conciliación pipas'!$A$5:$A$40,$A19,'Conciliación pipas'!$G$5:$G$40,"NO CUADRA")&gt;0,"NO CUADRA",IF(COUNTIFS('Conciliación pipas'!$A$5:$A$40,$A19,'Conciliación pipas'!$G$5:$G$40,"CUADRA")&gt;0,IF(COUNTIFS('Conciliación pipas'!$A$5:$A$40,$A19,'Conciliación pipas'!$G$5:$G$40,"SIN REPORTE")&gt;0,"PARCIAL","CUADRA"),IF(COUNTIF('Conciliación pipas'!$A$5:$A$40,$A19)=0,"s/d","SIN REPORTE")))</f>
        <v>CUADRA</v>
      </c>
      <c r="I19" s="12">
        <f>SUMIFS('Conciliación pipas'!$H$5:$H$40,'Conciliación pipas'!$A$5:$A$40,$A19)</f>
        <v>0</v>
      </c>
    </row>
    <row r="20" spans="1:9" x14ac:dyDescent="0.3">
      <c r="A20" s="6" t="s">
        <v>26</v>
      </c>
      <c r="B20" s="7">
        <f>IF(COUNTIFS('Mermas mensual'!$A$5:$A$22,$A20,'Mermas mensual'!$B$5:$B$22,"Regular")=0,"s/d",IF(SUMIFS('Mermas mensual'!$E$5:$E$22,'Mermas mensual'!$A$5:$A$22,$A20,'Mermas mensual'!$B$5:$B$22,"Regular")=0,0,SUMIFS('Mermas mensual'!$I$5:$I$22,'Mermas mensual'!$A$5:$A$22,$A20,'Mermas mensual'!$B$5:$B$22,"Regular")/SUMIFS('Mermas mensual'!$E$5:$E$22,'Mermas mensual'!$A$5:$A$22,$A20,'Mermas mensual'!$B$5:$B$22,"Regular")))</f>
        <v>-6.0210825823588986E-3</v>
      </c>
      <c r="C20" s="7">
        <f>IF(COUNTIFS('Mermas mensual'!$A$5:$A$22,$A20,'Mermas mensual'!$B$5:$B$22,"Premium")=0,"s/d",IF(SUMIFS('Mermas mensual'!$E$5:$E$22,'Mermas mensual'!$A$5:$A$22,$A20,'Mermas mensual'!$B$5:$B$22,"Premium")=0,0,SUMIFS('Mermas mensual'!$I$5:$I$22,'Mermas mensual'!$A$5:$A$22,$A20,'Mermas mensual'!$B$5:$B$22,"Premium")/SUMIFS('Mermas mensual'!$E$5:$E$22,'Mermas mensual'!$A$5:$A$22,$A20,'Mermas mensual'!$B$5:$B$22,"Premium")))</f>
        <v>-9.948302704898342E-3</v>
      </c>
      <c r="D20" s="7">
        <f>IF(COUNTIFS('Mermas mensual'!$A$5:$A$22,$A20,'Mermas mensual'!$B$5:$B$22,"Diesel")=0,"s/d",IF(SUMIFS('Mermas mensual'!$E$5:$E$22,'Mermas mensual'!$A$5:$A$22,$A20,'Mermas mensual'!$B$5:$B$22,"Diesel")=0,0,SUMIFS('Mermas mensual'!$I$5:$I$22,'Mermas mensual'!$A$5:$A$22,$A20,'Mermas mensual'!$B$5:$B$22,"Diesel")/SUMIFS('Mermas mensual'!$E$5:$E$22,'Mermas mensual'!$A$5:$A$22,$A20,'Mermas mensual'!$B$5:$B$22,"Diesel")))</f>
        <v>-1.6687179935510276E-3</v>
      </c>
      <c r="E20" s="8">
        <f>IF(COUNTIF('Mermas mensual'!$A$5:$A$22,$A20)=0,"s/d",IF(SUMIFS('Mermas mensual'!$E$5:$E$22,'Mermas mensual'!$A$5:$A$22,$A20)=0,0,SUMIFS('Mermas mensual'!$I$5:$I$22,'Mermas mensual'!$A$5:$A$22,$A20)/SUMIFS('Mermas mensual'!$E$5:$E$22,'Mermas mensual'!$A$5:$A$22,$A20)))</f>
        <v>-4.5186914512767981E-3</v>
      </c>
      <c r="F20" s="9">
        <f>IF(COUNTIF('Mermas mensual'!$A$5:$A$22,$A20)=0,"s/d",SUMIFS('Mermas mensual'!$I$5:$I$22,'Mermas mensual'!$A$5:$A$22,$A20))</f>
        <v>-2919.1200000000681</v>
      </c>
      <c r="G20" s="10">
        <f>IF(COUNTIF('Mermas mensual'!$A$5:$A$22,$A20)=0,"s/d",SUMIFS('Mermas mensual'!$M$5:$M$22,'Mermas mensual'!$A$5:$A$22,$A20))</f>
        <v>-58520.049426001322</v>
      </c>
      <c r="H20" s="11" t="str">
        <f>IF(COUNTIFS('Conciliación pipas'!$A$5:$A$40,$A20,'Conciliación pipas'!$G$5:$G$40,"NO CUADRA")&gt;0,"NO CUADRA",IF(COUNTIFS('Conciliación pipas'!$A$5:$A$40,$A20,'Conciliación pipas'!$G$5:$G$40,"CUADRA")&gt;0,IF(COUNTIFS('Conciliación pipas'!$A$5:$A$40,$A20,'Conciliación pipas'!$G$5:$G$40,"SIN REPORTE")&gt;0,"PARCIAL","CUADRA"),IF(COUNTIF('Conciliación pipas'!$A$5:$A$40,$A20)=0,"s/d","SIN REPORTE")))</f>
        <v>CUADRA</v>
      </c>
      <c r="I20" s="12">
        <f>SUMIFS('Conciliación pipas'!$H$5:$H$40,'Conciliación pipas'!$A$5:$A$40,$A20)</f>
        <v>0</v>
      </c>
    </row>
    <row r="21" spans="1:9" x14ac:dyDescent="0.3">
      <c r="A21" s="6" t="s">
        <v>27</v>
      </c>
      <c r="B21" s="7" t="str">
        <f>IF(COUNTIFS('Mermas mensual'!$A$5:$A$22,$A21,'Mermas mensual'!$B$5:$B$22,"Regular")=0,"s/d",IF(SUMIFS('Mermas mensual'!$E$5:$E$22,'Mermas mensual'!$A$5:$A$22,$A21,'Mermas mensual'!$B$5:$B$22,"Regular")=0,0,SUMIFS('Mermas mensual'!$I$5:$I$22,'Mermas mensual'!$A$5:$A$22,$A21,'Mermas mensual'!$B$5:$B$22,"Regular")/SUMIFS('Mermas mensual'!$E$5:$E$22,'Mermas mensual'!$A$5:$A$22,$A21,'Mermas mensual'!$B$5:$B$22,"Regular")))</f>
        <v>s/d</v>
      </c>
      <c r="C21" s="7" t="str">
        <f>IF(COUNTIFS('Mermas mensual'!$A$5:$A$22,$A21,'Mermas mensual'!$B$5:$B$22,"Premium")=0,"s/d",IF(SUMIFS('Mermas mensual'!$E$5:$E$22,'Mermas mensual'!$A$5:$A$22,$A21,'Mermas mensual'!$B$5:$B$22,"Premium")=0,0,SUMIFS('Mermas mensual'!$I$5:$I$22,'Mermas mensual'!$A$5:$A$22,$A21,'Mermas mensual'!$B$5:$B$22,"Premium")/SUMIFS('Mermas mensual'!$E$5:$E$22,'Mermas mensual'!$A$5:$A$22,$A21,'Mermas mensual'!$B$5:$B$22,"Premium")))</f>
        <v>s/d</v>
      </c>
      <c r="D21" s="7" t="str">
        <f>IF(COUNTIFS('Mermas mensual'!$A$5:$A$22,$A21,'Mermas mensual'!$B$5:$B$22,"Diesel")=0,"s/d",IF(SUMIFS('Mermas mensual'!$E$5:$E$22,'Mermas mensual'!$A$5:$A$22,$A21,'Mermas mensual'!$B$5:$B$22,"Diesel")=0,0,SUMIFS('Mermas mensual'!$I$5:$I$22,'Mermas mensual'!$A$5:$A$22,$A21,'Mermas mensual'!$B$5:$B$22,"Diesel")/SUMIFS('Mermas mensual'!$E$5:$E$22,'Mermas mensual'!$A$5:$A$22,$A21,'Mermas mensual'!$B$5:$B$22,"Diesel")))</f>
        <v>s/d</v>
      </c>
      <c r="E21" s="8" t="str">
        <f>IF(COUNTIF('Mermas mensual'!$A$5:$A$22,$A21)=0,"s/d",IF(SUMIFS('Mermas mensual'!$E$5:$E$22,'Mermas mensual'!$A$5:$A$22,$A21)=0,0,SUMIFS('Mermas mensual'!$I$5:$I$22,'Mermas mensual'!$A$5:$A$22,$A21)/SUMIFS('Mermas mensual'!$E$5:$E$22,'Mermas mensual'!$A$5:$A$22,$A21)))</f>
        <v>s/d</v>
      </c>
      <c r="F21" s="9" t="str">
        <f>IF(COUNTIF('Mermas mensual'!$A$5:$A$22,$A21)=0,"s/d",SUMIFS('Mermas mensual'!$I$5:$I$22,'Mermas mensual'!$A$5:$A$22,$A21))</f>
        <v>s/d</v>
      </c>
      <c r="G21" s="10" t="str">
        <f>IF(COUNTIF('Mermas mensual'!$A$5:$A$22,$A21)=0,"s/d",SUMIFS('Mermas mensual'!$M$5:$M$22,'Mermas mensual'!$A$5:$A$22,$A21))</f>
        <v>s/d</v>
      </c>
      <c r="H21" s="11" t="str">
        <f>IF(COUNTIFS('Conciliación pipas'!$A$5:$A$40,$A21,'Conciliación pipas'!$G$5:$G$40,"NO CUADRA")&gt;0,"NO CUADRA",IF(COUNTIFS('Conciliación pipas'!$A$5:$A$40,$A21,'Conciliación pipas'!$G$5:$G$40,"CUADRA")&gt;0,IF(COUNTIFS('Conciliación pipas'!$A$5:$A$40,$A21,'Conciliación pipas'!$G$5:$G$40,"SIN REPORTE")&gt;0,"PARCIAL","CUADRA"),IF(COUNTIF('Conciliación pipas'!$A$5:$A$40,$A21)=0,"s/d","SIN REPORTE")))</f>
        <v>SIN REPORTE</v>
      </c>
      <c r="I21" s="12">
        <f>SUMIFS('Conciliación pipas'!$H$5:$H$40,'Conciliación pipas'!$A$5:$A$40,$A21)</f>
        <v>0</v>
      </c>
    </row>
    <row r="22" spans="1:9" x14ac:dyDescent="0.3">
      <c r="A22" s="6" t="s">
        <v>28</v>
      </c>
      <c r="B22" s="7" t="str">
        <f>IF(COUNTIFS('Mermas mensual'!$A$5:$A$22,$A22,'Mermas mensual'!$B$5:$B$22,"Regular")=0,"s/d",IF(SUMIFS('Mermas mensual'!$E$5:$E$22,'Mermas mensual'!$A$5:$A$22,$A22,'Mermas mensual'!$B$5:$B$22,"Regular")=0,0,SUMIFS('Mermas mensual'!$I$5:$I$22,'Mermas mensual'!$A$5:$A$22,$A22,'Mermas mensual'!$B$5:$B$22,"Regular")/SUMIFS('Mermas mensual'!$E$5:$E$22,'Mermas mensual'!$A$5:$A$22,$A22,'Mermas mensual'!$B$5:$B$22,"Regular")))</f>
        <v>s/d</v>
      </c>
      <c r="C22" s="7" t="str">
        <f>IF(COUNTIFS('Mermas mensual'!$A$5:$A$22,$A22,'Mermas mensual'!$B$5:$B$22,"Premium")=0,"s/d",IF(SUMIFS('Mermas mensual'!$E$5:$E$22,'Mermas mensual'!$A$5:$A$22,$A22,'Mermas mensual'!$B$5:$B$22,"Premium")=0,0,SUMIFS('Mermas mensual'!$I$5:$I$22,'Mermas mensual'!$A$5:$A$22,$A22,'Mermas mensual'!$B$5:$B$22,"Premium")/SUMIFS('Mermas mensual'!$E$5:$E$22,'Mermas mensual'!$A$5:$A$22,$A22,'Mermas mensual'!$B$5:$B$22,"Premium")))</f>
        <v>s/d</v>
      </c>
      <c r="D22" s="7" t="str">
        <f>IF(COUNTIFS('Mermas mensual'!$A$5:$A$22,$A22,'Mermas mensual'!$B$5:$B$22,"Diesel")=0,"s/d",IF(SUMIFS('Mermas mensual'!$E$5:$E$22,'Mermas mensual'!$A$5:$A$22,$A22,'Mermas mensual'!$B$5:$B$22,"Diesel")=0,0,SUMIFS('Mermas mensual'!$I$5:$I$22,'Mermas mensual'!$A$5:$A$22,$A22,'Mermas mensual'!$B$5:$B$22,"Diesel")/SUMIFS('Mermas mensual'!$E$5:$E$22,'Mermas mensual'!$A$5:$A$22,$A22,'Mermas mensual'!$B$5:$B$22,"Diesel")))</f>
        <v>s/d</v>
      </c>
      <c r="E22" s="8" t="str">
        <f>IF(COUNTIF('Mermas mensual'!$A$5:$A$22,$A22)=0,"s/d",IF(SUMIFS('Mermas mensual'!$E$5:$E$22,'Mermas mensual'!$A$5:$A$22,$A22)=0,0,SUMIFS('Mermas mensual'!$I$5:$I$22,'Mermas mensual'!$A$5:$A$22,$A22)/SUMIFS('Mermas mensual'!$E$5:$E$22,'Mermas mensual'!$A$5:$A$22,$A22)))</f>
        <v>s/d</v>
      </c>
      <c r="F22" s="9" t="str">
        <f>IF(COUNTIF('Mermas mensual'!$A$5:$A$22,$A22)=0,"s/d",SUMIFS('Mermas mensual'!$I$5:$I$22,'Mermas mensual'!$A$5:$A$22,$A22))</f>
        <v>s/d</v>
      </c>
      <c r="G22" s="10" t="str">
        <f>IF(COUNTIF('Mermas mensual'!$A$5:$A$22,$A22)=0,"s/d",SUMIFS('Mermas mensual'!$M$5:$M$22,'Mermas mensual'!$A$5:$A$22,$A22))</f>
        <v>s/d</v>
      </c>
      <c r="H22" s="11" t="str">
        <f>IF(COUNTIFS('Conciliación pipas'!$A$5:$A$40,$A22,'Conciliación pipas'!$G$5:$G$40,"NO CUADRA")&gt;0,"NO CUADRA",IF(COUNTIFS('Conciliación pipas'!$A$5:$A$40,$A22,'Conciliación pipas'!$G$5:$G$40,"CUADRA")&gt;0,IF(COUNTIFS('Conciliación pipas'!$A$5:$A$40,$A22,'Conciliación pipas'!$G$5:$G$40,"SIN REPORTE")&gt;0,"PARCIAL","CUADRA"),IF(COUNTIF('Conciliación pipas'!$A$5:$A$40,$A22)=0,"s/d","SIN REPORTE")))</f>
        <v>SIN REPORTE</v>
      </c>
      <c r="I22" s="12">
        <f>SUMIFS('Conciliación pipas'!$H$5:$H$40,'Conciliación pipas'!$A$5:$A$40,$A22)</f>
        <v>0</v>
      </c>
    </row>
    <row r="23" spans="1:9" x14ac:dyDescent="0.3">
      <c r="A23" s="6" t="s">
        <v>29</v>
      </c>
      <c r="B23" s="7">
        <f>IF(COUNTIFS('Mermas mensual'!$A$5:$A$22,$A23,'Mermas mensual'!$B$5:$B$22,"Regular")=0,"s/d",IF(SUMIFS('Mermas mensual'!$E$5:$E$22,'Mermas mensual'!$A$5:$A$22,$A23,'Mermas mensual'!$B$5:$B$22,"Regular")=0,0,SUMIFS('Mermas mensual'!$I$5:$I$22,'Mermas mensual'!$A$5:$A$22,$A23,'Mermas mensual'!$B$5:$B$22,"Regular")/SUMIFS('Mermas mensual'!$E$5:$E$22,'Mermas mensual'!$A$5:$A$22,$A23,'Mermas mensual'!$B$5:$B$22,"Regular")))</f>
        <v>2.0096157138255105E-2</v>
      </c>
      <c r="C23" s="7">
        <f>IF(COUNTIFS('Mermas mensual'!$A$5:$A$22,$A23,'Mermas mensual'!$B$5:$B$22,"Premium")=0,"s/d",IF(SUMIFS('Mermas mensual'!$E$5:$E$22,'Mermas mensual'!$A$5:$A$22,$A23,'Mermas mensual'!$B$5:$B$22,"Premium")=0,0,SUMIFS('Mermas mensual'!$I$5:$I$22,'Mermas mensual'!$A$5:$A$22,$A23,'Mermas mensual'!$B$5:$B$22,"Premium")/SUMIFS('Mermas mensual'!$E$5:$E$22,'Mermas mensual'!$A$5:$A$22,$A23,'Mermas mensual'!$B$5:$B$22,"Premium")))</f>
        <v>3.5197495250173079E-2</v>
      </c>
      <c r="D23" s="7">
        <f>IF(COUNTIFS('Mermas mensual'!$A$5:$A$22,$A23,'Mermas mensual'!$B$5:$B$22,"Diesel")=0,"s/d",IF(SUMIFS('Mermas mensual'!$E$5:$E$22,'Mermas mensual'!$A$5:$A$22,$A23,'Mermas mensual'!$B$5:$B$22,"Diesel")=0,0,SUMIFS('Mermas mensual'!$I$5:$I$22,'Mermas mensual'!$A$5:$A$22,$A23,'Mermas mensual'!$B$5:$B$22,"Diesel")/SUMIFS('Mermas mensual'!$E$5:$E$22,'Mermas mensual'!$A$5:$A$22,$A23,'Mermas mensual'!$B$5:$B$22,"Diesel")))</f>
        <v>5.1166725674003186E-3</v>
      </c>
      <c r="E23" s="8">
        <f>IF(COUNTIF('Mermas mensual'!$A$5:$A$22,$A23)=0,"s/d",IF(SUMIFS('Mermas mensual'!$E$5:$E$22,'Mermas mensual'!$A$5:$A$22,$A23)=0,0,SUMIFS('Mermas mensual'!$I$5:$I$22,'Mermas mensual'!$A$5:$A$22,$A23)/SUMIFS('Mermas mensual'!$E$5:$E$22,'Mermas mensual'!$A$5:$A$22,$A23)))</f>
        <v>1.4430254420663157E-2</v>
      </c>
      <c r="F23" s="9">
        <f>IF(COUNTIF('Mermas mensual'!$A$5:$A$22,$A23)=0,"s/d",SUMIFS('Mermas mensual'!$I$5:$I$22,'Mermas mensual'!$A$5:$A$22,$A23))</f>
        <v>5362.1000000000076</v>
      </c>
      <c r="G23" s="10">
        <f>IF(COUNTIF('Mermas mensual'!$A$5:$A$22,$A23)=0,"s/d",SUMIFS('Mermas mensual'!$M$5:$M$22,'Mermas mensual'!$A$5:$A$22,$A23))</f>
        <v>110873.89109100023</v>
      </c>
      <c r="H23" s="11" t="str">
        <f>IF(COUNTIFS('Conciliación pipas'!$A$5:$A$40,$A23,'Conciliación pipas'!$G$5:$G$40,"NO CUADRA")&gt;0,"NO CUADRA",IF(COUNTIFS('Conciliación pipas'!$A$5:$A$40,$A23,'Conciliación pipas'!$G$5:$G$40,"CUADRA")&gt;0,IF(COUNTIFS('Conciliación pipas'!$A$5:$A$40,$A23,'Conciliación pipas'!$G$5:$G$40,"SIN REPORTE")&gt;0,"PARCIAL","CUADRA"),IF(COUNTIF('Conciliación pipas'!$A$5:$A$40,$A23)=0,"s/d","SIN REPORTE")))</f>
        <v>CUADRA</v>
      </c>
      <c r="I23" s="12">
        <f>SUMIFS('Conciliación pipas'!$H$5:$H$40,'Conciliación pipas'!$A$5:$A$40,$A23)</f>
        <v>0</v>
      </c>
    </row>
    <row r="25" spans="1:9" x14ac:dyDescent="0.3">
      <c r="A25" s="13" t="s">
        <v>30</v>
      </c>
      <c r="B25" s="53" t="s">
        <v>31</v>
      </c>
      <c r="C25" s="46"/>
      <c r="D25" s="45" t="s">
        <v>32</v>
      </c>
      <c r="E25" s="46"/>
      <c r="F25" s="54" t="s">
        <v>33</v>
      </c>
      <c r="G25" s="46"/>
      <c r="H25" s="47" t="s">
        <v>34</v>
      </c>
      <c r="I25" s="46"/>
    </row>
    <row r="26" spans="1:9" x14ac:dyDescent="0.3">
      <c r="A26" s="14" t="s">
        <v>35</v>
      </c>
    </row>
  </sheetData>
  <mergeCells count="16">
    <mergeCell ref="D4:F4"/>
    <mergeCell ref="F25:G25"/>
    <mergeCell ref="G8:I8"/>
    <mergeCell ref="G4:I4"/>
    <mergeCell ref="A7:C7"/>
    <mergeCell ref="D7:F7"/>
    <mergeCell ref="A4:C4"/>
    <mergeCell ref="G7:I7"/>
    <mergeCell ref="D25:E25"/>
    <mergeCell ref="H25:I25"/>
    <mergeCell ref="D5:F5"/>
    <mergeCell ref="A5:C5"/>
    <mergeCell ref="G5:I5"/>
    <mergeCell ref="D8:F8"/>
    <mergeCell ref="B25:C25"/>
    <mergeCell ref="A8:C8"/>
  </mergeCells>
  <conditionalFormatting sqref="A8">
    <cfRule type="cellIs" dxfId="44" priority="2" operator="greaterThan">
      <formula>0</formula>
    </cfRule>
  </conditionalFormatting>
  <conditionalFormatting sqref="B12:E23">
    <cfRule type="expression" dxfId="41" priority="7" stopIfTrue="1">
      <formula>ISNUMBER(B12)</formula>
    </cfRule>
  </conditionalFormatting>
  <conditionalFormatting sqref="B12:G23">
    <cfRule type="expression" dxfId="40" priority="8">
      <formula>B12="s/d"</formula>
    </cfRule>
  </conditionalFormatting>
  <conditionalFormatting sqref="D8">
    <cfRule type="cellIs" dxfId="38" priority="3" operator="greaterThan">
      <formula>0</formula>
    </cfRule>
  </conditionalFormatting>
  <conditionalFormatting sqref="G8">
    <cfRule type="cellIs" dxfId="37" priority="4" operator="greaterThan">
      <formula>0</formula>
    </cfRule>
  </conditionalFormatting>
  <conditionalFormatting sqref="H12:H23">
    <cfRule type="expression" dxfId="36" priority="9">
      <formula>H12="NO CUADRA"</formula>
    </cfRule>
    <cfRule type="expression" dxfId="35" priority="10">
      <formula>H12="PARCIAL"</formula>
    </cfRule>
    <cfRule type="expression" dxfId="34" priority="11">
      <formula>H12="SIN REPORTE"</formula>
    </cfRule>
    <cfRule type="expression" dxfId="33" priority="12">
      <formula>H12="CUADRA"</formula>
    </cfRule>
  </conditionalFormatting>
  <conditionalFormatting sqref="I12:I23">
    <cfRule type="cellIs" dxfId="32" priority="13" operator="greaterThan">
      <formula>0</formula>
    </cfRule>
  </conditionalFormatting>
  <pageMargins left="0.75" right="0.75" top="1" bottom="1" header="0.5" footer="0.5"/>
  <pageSetup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stopIfTrue="1" id="{00000000-000E-0000-0000-000005000000}">
            <xm:f>AND(ISNUMBER(B12),ABS(B12)&gt;Parámetros!$C$5)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expression" priority="6" stopIfTrue="1" id="{00000000-000E-0000-0000-000006000000}">
            <xm:f>AND(ISNUMBER(B12),ABS(B12)&gt;Parámetros!$C$6)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m:sqref>B12:E23</xm:sqref>
        </x14:conditionalFormatting>
        <x14:conditionalFormatting xmlns:xm="http://schemas.microsoft.com/office/excel/2006/main">
          <x14:cfRule type="expression" priority="1" id="{00000000-000E-0000-0000-000001000000}">
            <xm:f>ABS(D5)&gt;Parámetros!$C$5</xm:f>
            <x14:dxf>
              <font>
                <b/>
                <sz val="18"/>
                <color rgb="FF9C0006"/>
              </font>
            </x14:dxf>
          </x14:cfRule>
          <xm:sqref>D5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  <pageSetUpPr fitToPage="1"/>
  </sheetPr>
  <dimension ref="A1:R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N6" sqref="N6"/>
    </sheetView>
  </sheetViews>
  <sheetFormatPr baseColWidth="10" defaultColWidth="8.88671875" defaultRowHeight="14.4" x14ac:dyDescent="0.3"/>
  <cols>
    <col min="1" max="1" width="14" customWidth="1"/>
    <col min="2" max="2" width="13.5546875" bestFit="1" customWidth="1"/>
    <col min="3" max="3" width="13" customWidth="1"/>
    <col min="4" max="4" width="18.5546875" customWidth="1"/>
    <col min="5" max="5" width="13" customWidth="1"/>
    <col min="6" max="6" width="10" customWidth="1"/>
    <col min="7" max="8" width="13" customWidth="1"/>
    <col min="9" max="9" width="12" customWidth="1"/>
    <col min="10" max="10" width="10" customWidth="1"/>
    <col min="11" max="11" width="9" customWidth="1"/>
    <col min="12" max="12" width="16.33203125" bestFit="1" customWidth="1"/>
    <col min="13" max="13" width="12" customWidth="1"/>
    <col min="14" max="14" width="18.33203125" bestFit="1" customWidth="1"/>
    <col min="15" max="15" width="13" customWidth="1"/>
    <col min="16" max="16" width="13.5546875" bestFit="1" customWidth="1"/>
    <col min="18" max="18" width="22" customWidth="1"/>
  </cols>
  <sheetData>
    <row r="1" spans="1:18" ht="25.95" customHeight="1" x14ac:dyDescent="0.4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8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8" ht="31.95" customHeight="1" x14ac:dyDescent="0.3">
      <c r="A4" s="5" t="s">
        <v>9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14</v>
      </c>
      <c r="J4" s="5" t="s">
        <v>44</v>
      </c>
      <c r="K4" s="5" t="s">
        <v>45</v>
      </c>
      <c r="L4" s="5" t="s">
        <v>46</v>
      </c>
      <c r="M4" s="5" t="s">
        <v>15</v>
      </c>
      <c r="N4" s="5" t="s">
        <v>47</v>
      </c>
      <c r="O4" s="5" t="s">
        <v>48</v>
      </c>
      <c r="P4" s="5" t="s">
        <v>49</v>
      </c>
      <c r="R4" s="15" t="s">
        <v>50</v>
      </c>
    </row>
    <row r="5" spans="1:18" x14ac:dyDescent="0.3">
      <c r="A5" s="6" t="s">
        <v>21</v>
      </c>
      <c r="B5" s="16" t="s">
        <v>10</v>
      </c>
      <c r="C5" s="17">
        <v>39387.69</v>
      </c>
      <c r="D5" s="17">
        <f>SUMIFS('Detalle diario'!$E$5:$E$550,'Detalle diario'!$A$5:$A$550,A5,'Detalle diario'!$B$5:$B$550,B5)+SUMIFS('Detalle diario'!$L$5:$L$550,'Detalle diario'!$A$5:$A$550,A5,'Detalle diario'!$B$5:$B$550,B5)</f>
        <v>643188</v>
      </c>
      <c r="E5" s="17">
        <f>SUMIFS('Detalle diario'!$F$5:$F$550,'Detalle diario'!$A$5:$A$550,A5,'Detalle diario'!$B$5:$B$550,B5)</f>
        <v>649583.42000000004</v>
      </c>
      <c r="F5" s="17">
        <f>SUMIFS('Detalle diario'!$G$5:$G$550,'Detalle diario'!$A$5:$A$550,A5,'Detalle diario'!$B$5:$B$550,B5)</f>
        <v>0</v>
      </c>
      <c r="G5" s="17">
        <f t="shared" ref="G5:G22" si="0">C5+D5-E5+F5</f>
        <v>32992.269999999902</v>
      </c>
      <c r="H5" s="17">
        <v>62089.03</v>
      </c>
      <c r="I5" s="18">
        <f t="shared" ref="I5:I22" si="1">H5-G5</f>
        <v>29096.760000000097</v>
      </c>
      <c r="J5" s="19">
        <f t="shared" ref="J5:J23" si="2">IF(E5=0,0,I5/E5)</f>
        <v>4.4792953613255852E-2</v>
      </c>
      <c r="K5" s="11" t="str">
        <f>IF(ABS(J5)&gt;Parámetros!$C$5,"FUERA",IF(ABS(J5)&gt;Parámetros!$C$6,"ALERTA","OK"))</f>
        <v>FUERA</v>
      </c>
      <c r="L5" s="20">
        <v>18.978999999999999</v>
      </c>
      <c r="M5" s="21">
        <f t="shared" ref="M5:M22" si="3">I5*L5</f>
        <v>552227.40804000176</v>
      </c>
      <c r="N5" s="22">
        <f>SUMIFS('Detalle pipas'!$G$5:$G$281,'Detalle pipas'!$A$5:$A$281,A5,'Detalle pipas'!$B$5:$B$281,B5,'Detalle pipas'!$L$5:$L$281,"NO REGISTRADA*")</f>
        <v>33465</v>
      </c>
      <c r="O5" s="17">
        <f t="shared" ref="O5:O22" si="4">I5-N5</f>
        <v>-4368.2399999999034</v>
      </c>
      <c r="P5" s="23">
        <f t="shared" ref="P5:P23" si="5">IF(E5=0,0,O5/E5)</f>
        <v>-6.7246790258284348E-3</v>
      </c>
      <c r="R5" s="15" t="str">
        <f t="shared" ref="R5:R22" si="6">A5&amp;" · "&amp;B5</f>
        <v>AURORA · Regular</v>
      </c>
    </row>
    <row r="6" spans="1:18" x14ac:dyDescent="0.3">
      <c r="A6" s="6" t="s">
        <v>21</v>
      </c>
      <c r="B6" s="16" t="s">
        <v>11</v>
      </c>
      <c r="C6" s="17">
        <v>13598.9</v>
      </c>
      <c r="D6" s="17">
        <f>SUMIFS('Detalle diario'!$E$5:$E$550,'Detalle diario'!$A$5:$A$550,A6,'Detalle diario'!$B$5:$B$550,B6)+SUMIFS('Detalle diario'!$L$5:$L$550,'Detalle diario'!$A$5:$A$550,A6,'Detalle diario'!$B$5:$B$550,B6)</f>
        <v>72049</v>
      </c>
      <c r="E6" s="17">
        <f>SUMIFS('Detalle diario'!$F$5:$F$550,'Detalle diario'!$A$5:$A$550,A6,'Detalle diario'!$B$5:$B$550,B6)</f>
        <v>61367.159999999996</v>
      </c>
      <c r="F6" s="17">
        <f>SUMIFS('Detalle diario'!$G$5:$G$550,'Detalle diario'!$A$5:$A$550,A6,'Detalle diario'!$B$5:$B$550,B6)</f>
        <v>0</v>
      </c>
      <c r="G6" s="17">
        <f t="shared" si="0"/>
        <v>24280.739999999998</v>
      </c>
      <c r="H6" s="17">
        <v>23878.080000000002</v>
      </c>
      <c r="I6" s="18">
        <f t="shared" si="1"/>
        <v>-402.65999999999622</v>
      </c>
      <c r="J6" s="19">
        <f t="shared" si="2"/>
        <v>-6.5614898913359566E-3</v>
      </c>
      <c r="K6" s="11" t="str">
        <f>IF(ABS(J6)&gt;Parámetros!$C$5,"FUERA",IF(ABS(J6)&gt;Parámetros!$C$6,"ALERTA","OK"))</f>
        <v>FUERA</v>
      </c>
      <c r="L6" s="20">
        <v>22.3794</v>
      </c>
      <c r="M6" s="21">
        <f t="shared" si="3"/>
        <v>-9011.2892039999151</v>
      </c>
      <c r="N6" s="22">
        <f>SUMIFS('Detalle pipas'!$G$5:$G$281,'Detalle pipas'!$A$5:$A$281,A6,'Detalle pipas'!$B$5:$B$281,B6,'Detalle pipas'!$L$5:$L$281,"NO REGISTRADA*")</f>
        <v>0</v>
      </c>
      <c r="O6" s="17">
        <f t="shared" si="4"/>
        <v>-402.65999999999622</v>
      </c>
      <c r="P6" s="23">
        <f t="shared" si="5"/>
        <v>-6.5614898913359566E-3</v>
      </c>
      <c r="R6" s="15" t="str">
        <f t="shared" si="6"/>
        <v>AURORA · Premium</v>
      </c>
    </row>
    <row r="7" spans="1:18" x14ac:dyDescent="0.3">
      <c r="A7" s="6" t="s">
        <v>21</v>
      </c>
      <c r="B7" s="16" t="s">
        <v>12</v>
      </c>
      <c r="C7" s="17">
        <v>27221.33</v>
      </c>
      <c r="D7" s="17">
        <f>SUMIFS('Detalle diario'!$E$5:$E$550,'Detalle diario'!$A$5:$A$550,A7,'Detalle diario'!$B$5:$B$550,B7)+SUMIFS('Detalle diario'!$L$5:$L$550,'Detalle diario'!$A$5:$A$550,A7,'Detalle diario'!$B$5:$B$550,B7)</f>
        <v>287001</v>
      </c>
      <c r="E7" s="17">
        <f>SUMIFS('Detalle diario'!$F$5:$F$550,'Detalle diario'!$A$5:$A$550,A7,'Detalle diario'!$B$5:$B$550,B7)</f>
        <v>286219.07999999996</v>
      </c>
      <c r="F7" s="17">
        <f>SUMIFS('Detalle diario'!$G$5:$G$550,'Detalle diario'!$A$5:$A$550,A7,'Detalle diario'!$B$5:$B$550,B7)</f>
        <v>0</v>
      </c>
      <c r="G7" s="17">
        <f t="shared" si="0"/>
        <v>28003.250000000058</v>
      </c>
      <c r="H7" s="17">
        <v>28496.59</v>
      </c>
      <c r="I7" s="18">
        <f t="shared" si="1"/>
        <v>493.33999999994194</v>
      </c>
      <c r="J7" s="19">
        <f t="shared" si="2"/>
        <v>1.7236446990184652E-3</v>
      </c>
      <c r="K7" s="11" t="str">
        <f>IF(ABS(J7)&gt;Parámetros!$C$5,"FUERA",IF(ABS(J7)&gt;Parámetros!$C$6,"ALERTA","OK"))</f>
        <v>OK</v>
      </c>
      <c r="L7" s="20">
        <v>21.782</v>
      </c>
      <c r="M7" s="21">
        <f t="shared" si="3"/>
        <v>10745.931879998736</v>
      </c>
      <c r="N7" s="22">
        <f>SUMIFS('Detalle pipas'!$G$5:$G$281,'Detalle pipas'!$A$5:$A$281,A7,'Detalle pipas'!$B$5:$B$281,B7,'Detalle pipas'!$L$5:$L$281,"NO REGISTRADA*")</f>
        <v>0</v>
      </c>
      <c r="O7" s="17">
        <f t="shared" si="4"/>
        <v>493.33999999994194</v>
      </c>
      <c r="P7" s="23">
        <f t="shared" si="5"/>
        <v>1.7236446990184652E-3</v>
      </c>
      <c r="R7" s="15" t="str">
        <f t="shared" si="6"/>
        <v>AURORA · Diesel</v>
      </c>
    </row>
    <row r="8" spans="1:18" x14ac:dyDescent="0.3">
      <c r="A8" s="6" t="s">
        <v>23</v>
      </c>
      <c r="B8" s="16" t="s">
        <v>10</v>
      </c>
      <c r="C8" s="17">
        <v>24744.799999999999</v>
      </c>
      <c r="D8" s="17">
        <f>SUMIFS('Detalle diario'!$E$5:$E$550,'Detalle diario'!$A$5:$A$550,A8,'Detalle diario'!$B$5:$B$550,B8)+SUMIFS('Detalle diario'!$L$5:$L$550,'Detalle diario'!$A$5:$A$550,A8,'Detalle diario'!$B$5:$B$550,B8)</f>
        <v>512270</v>
      </c>
      <c r="E8" s="17">
        <f>SUMIFS('Detalle diario'!$F$5:$F$550,'Detalle diario'!$A$5:$A$550,A8,'Detalle diario'!$B$5:$B$550,B8)</f>
        <v>474394.78</v>
      </c>
      <c r="F8" s="17">
        <f>SUMIFS('Detalle diario'!$G$5:$G$550,'Detalle diario'!$A$5:$A$550,A8,'Detalle diario'!$B$5:$B$550,B8)</f>
        <v>0</v>
      </c>
      <c r="G8" s="17">
        <f t="shared" si="0"/>
        <v>62620.020000000019</v>
      </c>
      <c r="H8" s="17">
        <v>60042.66</v>
      </c>
      <c r="I8" s="18">
        <f t="shared" si="1"/>
        <v>-2577.3600000000151</v>
      </c>
      <c r="J8" s="19">
        <f t="shared" si="2"/>
        <v>-5.4329434231970572E-3</v>
      </c>
      <c r="K8" s="11" t="str">
        <f>IF(ABS(J8)&gt;Parámetros!$C$5,"FUERA",IF(ABS(J8)&gt;Parámetros!$C$6,"ALERTA","OK"))</f>
        <v>FUERA</v>
      </c>
      <c r="L8" s="20">
        <v>18.838200000000001</v>
      </c>
      <c r="M8" s="21">
        <f t="shared" si="3"/>
        <v>-48552.823152000288</v>
      </c>
      <c r="N8" s="22">
        <f>SUMIFS('Detalle pipas'!$G$5:$G$281,'Detalle pipas'!$A$5:$A$281,A8,'Detalle pipas'!$B$5:$B$281,B8,'Detalle pipas'!$L$5:$L$281,"NO REGISTRADA*")</f>
        <v>0</v>
      </c>
      <c r="O8" s="17">
        <f t="shared" si="4"/>
        <v>-2577.3600000000151</v>
      </c>
      <c r="P8" s="23">
        <f t="shared" si="5"/>
        <v>-5.4329434231970572E-3</v>
      </c>
      <c r="R8" s="15" t="str">
        <f t="shared" si="6"/>
        <v>HUEHUETOCA · Regular</v>
      </c>
    </row>
    <row r="9" spans="1:18" x14ac:dyDescent="0.3">
      <c r="A9" s="6" t="s">
        <v>23</v>
      </c>
      <c r="B9" s="16" t="s">
        <v>11</v>
      </c>
      <c r="C9" s="17">
        <v>26497.19</v>
      </c>
      <c r="D9" s="17">
        <f>SUMIFS('Detalle diario'!$E$5:$E$550,'Detalle diario'!$A$5:$A$550,A9,'Detalle diario'!$B$5:$B$550,B9)+SUMIFS('Detalle diario'!$L$5:$L$550,'Detalle diario'!$A$5:$A$550,A9,'Detalle diario'!$B$5:$B$550,B9)</f>
        <v>60101</v>
      </c>
      <c r="E9" s="17">
        <f>SUMIFS('Detalle diario'!$F$5:$F$550,'Detalle diario'!$A$5:$A$550,A9,'Detalle diario'!$B$5:$B$550,B9)</f>
        <v>52262.920000000006</v>
      </c>
      <c r="F9" s="17">
        <f>SUMIFS('Detalle diario'!$G$5:$G$550,'Detalle diario'!$A$5:$A$550,A9,'Detalle diario'!$B$5:$B$550,B9)</f>
        <v>0</v>
      </c>
      <c r="G9" s="17">
        <f t="shared" si="0"/>
        <v>34335.269999999997</v>
      </c>
      <c r="H9" s="17">
        <v>34179.449999999997</v>
      </c>
      <c r="I9" s="18">
        <f t="shared" si="1"/>
        <v>-155.81999999999971</v>
      </c>
      <c r="J9" s="19">
        <f t="shared" si="2"/>
        <v>-2.9814637222719221E-3</v>
      </c>
      <c r="K9" s="11" t="str">
        <f>IF(ABS(J9)&gt;Parámetros!$C$5,"FUERA",IF(ABS(J9)&gt;Parámetros!$C$6,"ALERTA","OK"))</f>
        <v>OK</v>
      </c>
      <c r="L9" s="20">
        <v>22.4114</v>
      </c>
      <c r="M9" s="21">
        <f t="shared" si="3"/>
        <v>-3492.1443479999934</v>
      </c>
      <c r="N9" s="22">
        <f>SUMIFS('Detalle pipas'!$G$5:$G$281,'Detalle pipas'!$A$5:$A$281,A9,'Detalle pipas'!$B$5:$B$281,B9,'Detalle pipas'!$L$5:$L$281,"NO REGISTRADA*")</f>
        <v>0</v>
      </c>
      <c r="O9" s="17">
        <f t="shared" si="4"/>
        <v>-155.81999999999971</v>
      </c>
      <c r="P9" s="23">
        <f t="shared" si="5"/>
        <v>-2.9814637222719221E-3</v>
      </c>
      <c r="R9" s="15" t="str">
        <f t="shared" si="6"/>
        <v>HUEHUETOCA · Premium</v>
      </c>
    </row>
    <row r="10" spans="1:18" x14ac:dyDescent="0.3">
      <c r="A10" s="6" t="s">
        <v>23</v>
      </c>
      <c r="B10" s="16" t="s">
        <v>12</v>
      </c>
      <c r="C10" s="17">
        <v>46175.06</v>
      </c>
      <c r="D10" s="17">
        <f>SUMIFS('Detalle diario'!$E$5:$E$550,'Detalle diario'!$A$5:$A$550,A10,'Detalle diario'!$B$5:$B$550,B10)+SUMIFS('Detalle diario'!$L$5:$L$550,'Detalle diario'!$A$5:$A$550,A10,'Detalle diario'!$B$5:$B$550,B10)</f>
        <v>272939</v>
      </c>
      <c r="E10" s="17">
        <f>SUMIFS('Detalle diario'!$F$5:$F$550,'Detalle diario'!$A$5:$A$550,A10,'Detalle diario'!$B$5:$B$550,B10)</f>
        <v>264906.61000000004</v>
      </c>
      <c r="F10" s="17">
        <f>SUMIFS('Detalle diario'!$G$5:$G$550,'Detalle diario'!$A$5:$A$550,A10,'Detalle diario'!$B$5:$B$550,B10)</f>
        <v>0</v>
      </c>
      <c r="G10" s="17">
        <f t="shared" si="0"/>
        <v>54207.449999999953</v>
      </c>
      <c r="H10" s="17">
        <v>53082.78</v>
      </c>
      <c r="I10" s="18">
        <f t="shared" si="1"/>
        <v>-1124.6699999999546</v>
      </c>
      <c r="J10" s="19">
        <f t="shared" si="2"/>
        <v>-4.2455339260879686E-3</v>
      </c>
      <c r="K10" s="11" t="str">
        <f>IF(ABS(J10)&gt;Parámetros!$C$5,"FUERA",IF(ABS(J10)&gt;Parámetros!$C$6,"ALERTA","OK"))</f>
        <v>ALERTA</v>
      </c>
      <c r="L10" s="20">
        <v>21.703399999999998</v>
      </c>
      <c r="M10" s="21">
        <f t="shared" si="3"/>
        <v>-24409.162877999013</v>
      </c>
      <c r="N10" s="22">
        <f>SUMIFS('Detalle pipas'!$G$5:$G$281,'Detalle pipas'!$A$5:$A$281,A10,'Detalle pipas'!$B$5:$B$281,B10,'Detalle pipas'!$L$5:$L$281,"NO REGISTRADA*")</f>
        <v>0</v>
      </c>
      <c r="O10" s="17">
        <f t="shared" si="4"/>
        <v>-1124.6699999999546</v>
      </c>
      <c r="P10" s="23">
        <f t="shared" si="5"/>
        <v>-4.2455339260879686E-3</v>
      </c>
      <c r="R10" s="15" t="str">
        <f t="shared" si="6"/>
        <v>HUEHUETOCA · Diesel</v>
      </c>
    </row>
    <row r="11" spans="1:18" x14ac:dyDescent="0.3">
      <c r="A11" s="6" t="s">
        <v>24</v>
      </c>
      <c r="B11" s="16" t="s">
        <v>10</v>
      </c>
      <c r="C11" s="17">
        <v>164102.01</v>
      </c>
      <c r="D11" s="17">
        <f>SUMIFS('Detalle diario'!$E$5:$E$550,'Detalle diario'!$A$5:$A$550,A11,'Detalle diario'!$B$5:$B$550,B11)+SUMIFS('Detalle diario'!$L$5:$L$550,'Detalle diario'!$A$5:$A$550,A11,'Detalle diario'!$B$5:$B$550,B11)</f>
        <v>579699</v>
      </c>
      <c r="E11" s="17">
        <f>SUMIFS('Detalle diario'!$F$5:$F$550,'Detalle diario'!$A$5:$A$550,A11,'Detalle diario'!$B$5:$B$550,B11)</f>
        <v>611397.51000000013</v>
      </c>
      <c r="F11" s="17">
        <f>SUMIFS('Detalle diario'!$G$5:$G$550,'Detalle diario'!$A$5:$A$550,A11,'Detalle diario'!$B$5:$B$550,B11)</f>
        <v>0</v>
      </c>
      <c r="G11" s="17">
        <f t="shared" si="0"/>
        <v>132403.49999999988</v>
      </c>
      <c r="H11" s="17">
        <v>129526.66</v>
      </c>
      <c r="I11" s="18">
        <f t="shared" si="1"/>
        <v>-2876.8399999998801</v>
      </c>
      <c r="J11" s="19">
        <f t="shared" si="2"/>
        <v>-4.7053511879691489E-3</v>
      </c>
      <c r="K11" s="11" t="str">
        <f>IF(ABS(J11)&gt;Parámetros!$C$5,"FUERA",IF(ABS(J11)&gt;Parámetros!$C$6,"ALERTA","OK"))</f>
        <v>ALERTA</v>
      </c>
      <c r="L11" s="20">
        <v>18.978400000000001</v>
      </c>
      <c r="M11" s="21">
        <f t="shared" si="3"/>
        <v>-54597.820255997729</v>
      </c>
      <c r="N11" s="22">
        <f>SUMIFS('Detalle pipas'!$G$5:$G$281,'Detalle pipas'!$A$5:$A$281,A11,'Detalle pipas'!$B$5:$B$281,B11,'Detalle pipas'!$L$5:$L$281,"NO REGISTRADA*")</f>
        <v>0</v>
      </c>
      <c r="O11" s="17">
        <f t="shared" si="4"/>
        <v>-2876.8399999998801</v>
      </c>
      <c r="P11" s="23">
        <f t="shared" si="5"/>
        <v>-4.7053511879691489E-3</v>
      </c>
      <c r="R11" s="15" t="str">
        <f t="shared" si="6"/>
        <v>QL · Regular</v>
      </c>
    </row>
    <row r="12" spans="1:18" x14ac:dyDescent="0.3">
      <c r="A12" s="6" t="s">
        <v>24</v>
      </c>
      <c r="B12" s="16" t="s">
        <v>11</v>
      </c>
      <c r="C12" s="17">
        <v>62944.93</v>
      </c>
      <c r="D12" s="17">
        <f>SUMIFS('Detalle diario'!$E$5:$E$550,'Detalle diario'!$A$5:$A$550,A12,'Detalle diario'!$B$5:$B$550,B12)+SUMIFS('Detalle diario'!$L$5:$L$550,'Detalle diario'!$A$5:$A$550,A12,'Detalle diario'!$B$5:$B$550,B12)</f>
        <v>300298</v>
      </c>
      <c r="E12" s="17">
        <f>SUMIFS('Detalle diario'!$F$5:$F$550,'Detalle diario'!$A$5:$A$550,A12,'Detalle diario'!$B$5:$B$550,B12)</f>
        <v>316032.50000000006</v>
      </c>
      <c r="F12" s="17">
        <f>SUMIFS('Detalle diario'!$G$5:$G$550,'Detalle diario'!$A$5:$A$550,A12,'Detalle diario'!$B$5:$B$550,B12)</f>
        <v>0</v>
      </c>
      <c r="G12" s="17">
        <f t="shared" si="0"/>
        <v>47210.429999999935</v>
      </c>
      <c r="H12" s="17">
        <v>45159.1</v>
      </c>
      <c r="I12" s="18">
        <f t="shared" si="1"/>
        <v>-2051.3299999999363</v>
      </c>
      <c r="J12" s="19">
        <f t="shared" si="2"/>
        <v>-6.490883057913145E-3</v>
      </c>
      <c r="K12" s="11" t="str">
        <f>IF(ABS(J12)&gt;Parámetros!$C$5,"FUERA",IF(ABS(J12)&gt;Parámetros!$C$6,"ALERTA","OK"))</f>
        <v>FUERA</v>
      </c>
      <c r="L12" s="20">
        <v>22.5031</v>
      </c>
      <c r="M12" s="21">
        <f t="shared" si="3"/>
        <v>-46161.284122998564</v>
      </c>
      <c r="N12" s="22">
        <f>SUMIFS('Detalle pipas'!$G$5:$G$281,'Detalle pipas'!$A$5:$A$281,A12,'Detalle pipas'!$B$5:$B$281,B12,'Detalle pipas'!$L$5:$L$281,"NO REGISTRADA*")</f>
        <v>0</v>
      </c>
      <c r="O12" s="17">
        <f t="shared" si="4"/>
        <v>-2051.3299999999363</v>
      </c>
      <c r="P12" s="23">
        <f t="shared" si="5"/>
        <v>-6.490883057913145E-3</v>
      </c>
      <c r="R12" s="15" t="str">
        <f t="shared" si="6"/>
        <v>QL · Premium</v>
      </c>
    </row>
    <row r="13" spans="1:18" x14ac:dyDescent="0.3">
      <c r="A13" s="6" t="s">
        <v>24</v>
      </c>
      <c r="B13" s="16" t="s">
        <v>12</v>
      </c>
      <c r="C13" s="17">
        <v>117500.54</v>
      </c>
      <c r="D13" s="17">
        <f>SUMIFS('Detalle diario'!$E$5:$E$550,'Detalle diario'!$A$5:$A$550,A13,'Detalle diario'!$B$5:$B$550,B13)+SUMIFS('Detalle diario'!$L$5:$L$550,'Detalle diario'!$A$5:$A$550,A13,'Detalle diario'!$B$5:$B$550,B13)</f>
        <v>877365</v>
      </c>
      <c r="E13" s="17">
        <f>SUMIFS('Detalle diario'!$F$5:$F$550,'Detalle diario'!$A$5:$A$550,A13,'Detalle diario'!$B$5:$B$550,B13)</f>
        <v>924853.58999999973</v>
      </c>
      <c r="F13" s="17">
        <f>SUMIFS('Detalle diario'!$G$5:$G$550,'Detalle diario'!$A$5:$A$550,A13,'Detalle diario'!$B$5:$B$550,B13)</f>
        <v>0</v>
      </c>
      <c r="G13" s="17">
        <f t="shared" si="0"/>
        <v>70011.950000000303</v>
      </c>
      <c r="H13" s="17">
        <v>75919</v>
      </c>
      <c r="I13" s="18">
        <f t="shared" si="1"/>
        <v>5907.0499999996973</v>
      </c>
      <c r="J13" s="19">
        <f t="shared" si="2"/>
        <v>6.387010942996609E-3</v>
      </c>
      <c r="K13" s="11" t="str">
        <f>IF(ABS(J13)&gt;Parámetros!$C$5,"FUERA",IF(ABS(J13)&gt;Parámetros!$C$6,"ALERTA","OK"))</f>
        <v>FUERA</v>
      </c>
      <c r="L13" s="20">
        <v>21.8</v>
      </c>
      <c r="M13" s="21">
        <f t="shared" si="3"/>
        <v>128773.68999999341</v>
      </c>
      <c r="N13" s="22">
        <f>SUMIFS('Detalle pipas'!$G$5:$G$281,'Detalle pipas'!$A$5:$A$281,A13,'Detalle pipas'!$B$5:$B$281,B13,'Detalle pipas'!$L$5:$L$281,"NO REGISTRADA*")</f>
        <v>0</v>
      </c>
      <c r="O13" s="17">
        <f t="shared" si="4"/>
        <v>5907.0499999996973</v>
      </c>
      <c r="P13" s="23">
        <f t="shared" si="5"/>
        <v>6.387010942996609E-3</v>
      </c>
      <c r="R13" s="15" t="str">
        <f t="shared" si="6"/>
        <v>QL · Diesel</v>
      </c>
    </row>
    <row r="14" spans="1:18" x14ac:dyDescent="0.3">
      <c r="A14" s="6" t="s">
        <v>25</v>
      </c>
      <c r="B14" s="16" t="s">
        <v>10</v>
      </c>
      <c r="C14" s="17">
        <v>0</v>
      </c>
      <c r="D14" s="17">
        <f>SUMIFS('Detalle diario'!$E$5:$E$550,'Detalle diario'!$A$5:$A$550,A14,'Detalle diario'!$B$5:$B$550,B14)+SUMIFS('Detalle diario'!$L$5:$L$550,'Detalle diario'!$A$5:$A$550,A14,'Detalle diario'!$B$5:$B$550,B14)</f>
        <v>332823</v>
      </c>
      <c r="E14" s="17">
        <f>SUMIFS('Detalle diario'!$F$5:$F$550,'Detalle diario'!$A$5:$A$550,A14,'Detalle diario'!$B$5:$B$550,B14)</f>
        <v>347704.63</v>
      </c>
      <c r="F14" s="17">
        <f>SUMIFS('Detalle diario'!$G$5:$G$550,'Detalle diario'!$A$5:$A$550,A14,'Detalle diario'!$B$5:$B$550,B14)</f>
        <v>51578</v>
      </c>
      <c r="G14" s="17">
        <f t="shared" si="0"/>
        <v>36696.369999999995</v>
      </c>
      <c r="H14" s="17">
        <v>34749.29</v>
      </c>
      <c r="I14" s="18">
        <f t="shared" si="1"/>
        <v>-1947.0799999999945</v>
      </c>
      <c r="J14" s="19">
        <f t="shared" si="2"/>
        <v>-5.5998103907905815E-3</v>
      </c>
      <c r="K14" s="11" t="str">
        <f>IF(ABS(J14)&gt;Parámetros!$C$5,"FUERA",IF(ABS(J14)&gt;Parámetros!$C$6,"ALERTA","OK"))</f>
        <v>FUERA</v>
      </c>
      <c r="L14" s="20">
        <v>19.128</v>
      </c>
      <c r="M14" s="21">
        <f t="shared" si="3"/>
        <v>-37243.746239999891</v>
      </c>
      <c r="N14" s="22">
        <f>SUMIFS('Detalle pipas'!$G$5:$G$281,'Detalle pipas'!$A$5:$A$281,A14,'Detalle pipas'!$B$5:$B$281,B14,'Detalle pipas'!$L$5:$L$281,"NO REGISTRADA*")</f>
        <v>0</v>
      </c>
      <c r="O14" s="17">
        <f t="shared" si="4"/>
        <v>-1947.0799999999945</v>
      </c>
      <c r="P14" s="23">
        <f t="shared" si="5"/>
        <v>-5.5998103907905815E-3</v>
      </c>
      <c r="R14" s="15" t="str">
        <f t="shared" si="6"/>
        <v>IXTAZACUALA · Regular</v>
      </c>
    </row>
    <row r="15" spans="1:18" x14ac:dyDescent="0.3">
      <c r="A15" s="6" t="s">
        <v>25</v>
      </c>
      <c r="B15" s="16" t="s">
        <v>11</v>
      </c>
      <c r="C15" s="17">
        <v>0</v>
      </c>
      <c r="D15" s="17">
        <f>SUMIFS('Detalle diario'!$E$5:$E$550,'Detalle diario'!$A$5:$A$550,A15,'Detalle diario'!$B$5:$B$550,B15)+SUMIFS('Detalle diario'!$L$5:$L$550,'Detalle diario'!$A$5:$A$550,A15,'Detalle diario'!$B$5:$B$550,B15)</f>
        <v>59834</v>
      </c>
      <c r="E15" s="17">
        <f>SUMIFS('Detalle diario'!$F$5:$F$550,'Detalle diario'!$A$5:$A$550,A15,'Detalle diario'!$B$5:$B$550,B15)</f>
        <v>57212.38</v>
      </c>
      <c r="F15" s="17">
        <f>SUMIFS('Detalle diario'!$G$5:$G$550,'Detalle diario'!$A$5:$A$550,A15,'Detalle diario'!$B$5:$B$550,B15)</f>
        <v>27932</v>
      </c>
      <c r="G15" s="17">
        <f t="shared" si="0"/>
        <v>30553.620000000003</v>
      </c>
      <c r="H15" s="17">
        <v>30015.15</v>
      </c>
      <c r="I15" s="18">
        <f t="shared" si="1"/>
        <v>-538.47000000000116</v>
      </c>
      <c r="J15" s="19">
        <f t="shared" si="2"/>
        <v>-9.4117741649622187E-3</v>
      </c>
      <c r="K15" s="11" t="str">
        <f>IF(ABS(J15)&gt;Parámetros!$C$5,"FUERA",IF(ABS(J15)&gt;Parámetros!$C$6,"ALERTA","OK"))</f>
        <v>FUERA</v>
      </c>
      <c r="L15" s="20">
        <v>22.588200000000001</v>
      </c>
      <c r="M15" s="21">
        <f t="shared" si="3"/>
        <v>-12163.068054000027</v>
      </c>
      <c r="N15" s="22">
        <f>SUMIFS('Detalle pipas'!$G$5:$G$281,'Detalle pipas'!$A$5:$A$281,A15,'Detalle pipas'!$B$5:$B$281,B15,'Detalle pipas'!$L$5:$L$281,"NO REGISTRADA*")</f>
        <v>0</v>
      </c>
      <c r="O15" s="17">
        <f t="shared" si="4"/>
        <v>-538.47000000000116</v>
      </c>
      <c r="P15" s="23">
        <f t="shared" si="5"/>
        <v>-9.4117741649622187E-3</v>
      </c>
      <c r="R15" s="15" t="str">
        <f t="shared" si="6"/>
        <v>IXTAZACUALA · Premium</v>
      </c>
    </row>
    <row r="16" spans="1:18" x14ac:dyDescent="0.3">
      <c r="A16" s="6" t="s">
        <v>25</v>
      </c>
      <c r="B16" s="16" t="s">
        <v>12</v>
      </c>
      <c r="C16" s="17">
        <v>0</v>
      </c>
      <c r="D16" s="17">
        <f>SUMIFS('Detalle diario'!$E$5:$E$550,'Detalle diario'!$A$5:$A$550,A16,'Detalle diario'!$B$5:$B$550,B16)+SUMIFS('Detalle diario'!$L$5:$L$550,'Detalle diario'!$A$5:$A$550,A16,'Detalle diario'!$B$5:$B$550,B16)</f>
        <v>303295</v>
      </c>
      <c r="E16" s="17">
        <f>SUMIFS('Detalle diario'!$F$5:$F$550,'Detalle diario'!$A$5:$A$550,A16,'Detalle diario'!$B$5:$B$550,B16)</f>
        <v>313698.96000000002</v>
      </c>
      <c r="F16" s="17">
        <f>SUMIFS('Detalle diario'!$G$5:$G$550,'Detalle diario'!$A$5:$A$550,A16,'Detalle diario'!$B$5:$B$550,B16)</f>
        <v>38703</v>
      </c>
      <c r="G16" s="17">
        <f t="shared" si="0"/>
        <v>28299.039999999979</v>
      </c>
      <c r="H16" s="17">
        <v>28357.25</v>
      </c>
      <c r="I16" s="18">
        <f t="shared" si="1"/>
        <v>58.210000000020955</v>
      </c>
      <c r="J16" s="19">
        <f t="shared" si="2"/>
        <v>1.855600668871231E-4</v>
      </c>
      <c r="K16" s="11" t="str">
        <f>IF(ABS(J16)&gt;Parámetros!$C$5,"FUERA",IF(ABS(J16)&gt;Parámetros!$C$6,"ALERTA","OK"))</f>
        <v>OK</v>
      </c>
      <c r="L16" s="20">
        <v>21.923300000000001</v>
      </c>
      <c r="M16" s="21">
        <f t="shared" si="3"/>
        <v>1276.1552930004596</v>
      </c>
      <c r="N16" s="22">
        <f>SUMIFS('Detalle pipas'!$G$5:$G$281,'Detalle pipas'!$A$5:$A$281,A16,'Detalle pipas'!$B$5:$B$281,B16,'Detalle pipas'!$L$5:$L$281,"NO REGISTRADA*")</f>
        <v>0</v>
      </c>
      <c r="O16" s="17">
        <f t="shared" si="4"/>
        <v>58.210000000020955</v>
      </c>
      <c r="P16" s="23">
        <f t="shared" si="5"/>
        <v>1.855600668871231E-4</v>
      </c>
      <c r="R16" s="15" t="str">
        <f t="shared" si="6"/>
        <v>IXTAZACUALA · Diesel</v>
      </c>
    </row>
    <row r="17" spans="1:18" x14ac:dyDescent="0.3">
      <c r="A17" s="6" t="s">
        <v>26</v>
      </c>
      <c r="B17" s="16" t="s">
        <v>10</v>
      </c>
      <c r="C17" s="17">
        <v>103989.15</v>
      </c>
      <c r="D17" s="17">
        <f>SUMIFS('Detalle diario'!$E$5:$E$550,'Detalle diario'!$A$5:$A$550,A17,'Detalle diario'!$B$5:$B$550,B17)+SUMIFS('Detalle diario'!$L$5:$L$550,'Detalle diario'!$A$5:$A$550,A17,'Detalle diario'!$B$5:$B$550,B17)</f>
        <v>299705</v>
      </c>
      <c r="E17" s="17">
        <f>SUMIFS('Detalle diario'!$F$5:$F$550,'Detalle diario'!$A$5:$A$550,A17,'Detalle diario'!$B$5:$B$550,B17)</f>
        <v>339462.20999999996</v>
      </c>
      <c r="F17" s="17">
        <f>SUMIFS('Detalle diario'!$G$5:$G$550,'Detalle diario'!$A$5:$A$550,A17,'Detalle diario'!$B$5:$B$550,B17)</f>
        <v>0</v>
      </c>
      <c r="G17" s="17">
        <f t="shared" si="0"/>
        <v>64231.940000000061</v>
      </c>
      <c r="H17" s="17">
        <v>62188.01</v>
      </c>
      <c r="I17" s="18">
        <f t="shared" si="1"/>
        <v>-2043.9300000000585</v>
      </c>
      <c r="J17" s="19">
        <f t="shared" si="2"/>
        <v>-6.0210825823588986E-3</v>
      </c>
      <c r="K17" s="11" t="str">
        <f>IF(ABS(J17)&gt;Parámetros!$C$5,"FUERA",IF(ABS(J17)&gt;Parámetros!$C$6,"ALERTA","OK"))</f>
        <v>FUERA</v>
      </c>
      <c r="L17" s="20">
        <v>19.116599999999998</v>
      </c>
      <c r="M17" s="21">
        <f t="shared" si="3"/>
        <v>-39072.992238001112</v>
      </c>
      <c r="N17" s="22">
        <f>SUMIFS('Detalle pipas'!$G$5:$G$281,'Detalle pipas'!$A$5:$A$281,A17,'Detalle pipas'!$B$5:$B$281,B17,'Detalle pipas'!$L$5:$L$281,"NO REGISTRADA*")</f>
        <v>0</v>
      </c>
      <c r="O17" s="17">
        <f t="shared" si="4"/>
        <v>-2043.9300000000585</v>
      </c>
      <c r="P17" s="23">
        <f t="shared" si="5"/>
        <v>-6.0210825823588986E-3</v>
      </c>
      <c r="R17" s="15" t="str">
        <f t="shared" si="6"/>
        <v>TREHER · Regular</v>
      </c>
    </row>
    <row r="18" spans="1:18" x14ac:dyDescent="0.3">
      <c r="A18" s="6" t="s">
        <v>26</v>
      </c>
      <c r="B18" s="16" t="s">
        <v>11</v>
      </c>
      <c r="C18" s="17">
        <v>18774.07</v>
      </c>
      <c r="D18" s="17">
        <f>SUMIFS('Detalle diario'!$E$5:$E$550,'Detalle diario'!$A$5:$A$550,A18,'Detalle diario'!$B$5:$B$550,B18)+SUMIFS('Detalle diario'!$L$5:$L$550,'Detalle diario'!$A$5:$A$550,A18,'Detalle diario'!$B$5:$B$550,B18)</f>
        <v>39894</v>
      </c>
      <c r="E18" s="17">
        <f>SUMIFS('Detalle diario'!$F$5:$F$550,'Detalle diario'!$A$5:$A$550,A18,'Detalle diario'!$B$5:$B$550,B18)</f>
        <v>43921.06</v>
      </c>
      <c r="F18" s="17">
        <f>SUMIFS('Detalle diario'!$G$5:$G$550,'Detalle diario'!$A$5:$A$550,A18,'Detalle diario'!$B$5:$B$550,B18)</f>
        <v>0</v>
      </c>
      <c r="G18" s="17">
        <f t="shared" si="0"/>
        <v>14747.010000000002</v>
      </c>
      <c r="H18" s="17">
        <v>14310.07</v>
      </c>
      <c r="I18" s="18">
        <f t="shared" si="1"/>
        <v>-436.94000000000233</v>
      </c>
      <c r="J18" s="19">
        <f t="shared" si="2"/>
        <v>-9.948302704898342E-3</v>
      </c>
      <c r="K18" s="11" t="str">
        <f>IF(ABS(J18)&gt;Parámetros!$C$5,"FUERA",IF(ABS(J18)&gt;Parámetros!$C$6,"ALERTA","OK"))</f>
        <v>FUERA</v>
      </c>
      <c r="L18" s="20">
        <v>22.532699999999998</v>
      </c>
      <c r="M18" s="21">
        <f t="shared" si="3"/>
        <v>-9845.4379380000519</v>
      </c>
      <c r="N18" s="22">
        <f>SUMIFS('Detalle pipas'!$G$5:$G$281,'Detalle pipas'!$A$5:$A$281,A18,'Detalle pipas'!$B$5:$B$281,B18,'Detalle pipas'!$L$5:$L$281,"NO REGISTRADA*")</f>
        <v>0</v>
      </c>
      <c r="O18" s="17">
        <f t="shared" si="4"/>
        <v>-436.94000000000233</v>
      </c>
      <c r="P18" s="23">
        <f t="shared" si="5"/>
        <v>-9.948302704898342E-3</v>
      </c>
      <c r="R18" s="15" t="str">
        <f t="shared" si="6"/>
        <v>TREHER · Premium</v>
      </c>
    </row>
    <row r="19" spans="1:18" x14ac:dyDescent="0.3">
      <c r="A19" s="6" t="s">
        <v>26</v>
      </c>
      <c r="B19" s="16" t="s">
        <v>12</v>
      </c>
      <c r="C19" s="17">
        <v>33526.58</v>
      </c>
      <c r="D19" s="17">
        <f>SUMIFS('Detalle diario'!$E$5:$E$550,'Detalle diario'!$A$5:$A$550,A19,'Detalle diario'!$B$5:$B$550,B19)+SUMIFS('Detalle diario'!$L$5:$L$550,'Detalle diario'!$A$5:$A$550,A19,'Detalle diario'!$B$5:$B$550,B19)</f>
        <v>265770</v>
      </c>
      <c r="E19" s="17">
        <f>SUMIFS('Detalle diario'!$F$5:$F$550,'Detalle diario'!$A$5:$A$550,A19,'Detalle diario'!$B$5:$B$550,B19)</f>
        <v>262626.76</v>
      </c>
      <c r="F19" s="17">
        <f>SUMIFS('Detalle diario'!$G$5:$G$550,'Detalle diario'!$A$5:$A$550,A19,'Detalle diario'!$B$5:$B$550,B19)</f>
        <v>0</v>
      </c>
      <c r="G19" s="17">
        <f t="shared" si="0"/>
        <v>36669.820000000007</v>
      </c>
      <c r="H19" s="17">
        <v>36231.57</v>
      </c>
      <c r="I19" s="18">
        <f t="shared" si="1"/>
        <v>-438.25000000000728</v>
      </c>
      <c r="J19" s="19">
        <f t="shared" si="2"/>
        <v>-1.6687179935510276E-3</v>
      </c>
      <c r="K19" s="11" t="str">
        <f>IF(ABS(J19)&gt;Parámetros!$C$5,"FUERA",IF(ABS(J19)&gt;Parámetros!$C$6,"ALERTA","OK"))</f>
        <v>OK</v>
      </c>
      <c r="L19" s="20">
        <v>21.908999999999999</v>
      </c>
      <c r="M19" s="21">
        <f t="shared" si="3"/>
        <v>-9601.6192500001598</v>
      </c>
      <c r="N19" s="22">
        <f>SUMIFS('Detalle pipas'!$G$5:$G$281,'Detalle pipas'!$A$5:$A$281,A19,'Detalle pipas'!$B$5:$B$281,B19,'Detalle pipas'!$L$5:$L$281,"NO REGISTRADA*")</f>
        <v>0</v>
      </c>
      <c r="O19" s="17">
        <f t="shared" si="4"/>
        <v>-438.25000000000728</v>
      </c>
      <c r="P19" s="23">
        <f t="shared" si="5"/>
        <v>-1.6687179935510276E-3</v>
      </c>
      <c r="R19" s="15" t="str">
        <f t="shared" si="6"/>
        <v>TREHER · Diesel</v>
      </c>
    </row>
    <row r="20" spans="1:18" x14ac:dyDescent="0.3">
      <c r="A20" s="6" t="s">
        <v>29</v>
      </c>
      <c r="B20" s="16" t="s">
        <v>10</v>
      </c>
      <c r="C20" s="17">
        <v>24181.21</v>
      </c>
      <c r="D20" s="17">
        <f>SUMIFS('Detalle diario'!$E$5:$E$550,'Detalle diario'!$A$5:$A$550,A20,'Detalle diario'!$B$5:$B$550,B20)+SUMIFS('Detalle diario'!$L$5:$L$550,'Detalle diario'!$A$5:$A$550,A20,'Detalle diario'!$B$5:$B$550,B20)</f>
        <v>143283</v>
      </c>
      <c r="E20" s="17">
        <f>SUMIFS('Detalle diario'!$F$5:$F$550,'Detalle diario'!$A$5:$A$550,A20,'Detalle diario'!$B$5:$B$550,B20)</f>
        <v>122963.30999999997</v>
      </c>
      <c r="F20" s="17">
        <f>SUMIFS('Detalle diario'!$G$5:$G$550,'Detalle diario'!$A$5:$A$550,A20,'Detalle diario'!$B$5:$B$550,B20)</f>
        <v>0</v>
      </c>
      <c r="G20" s="17">
        <f t="shared" si="0"/>
        <v>44500.900000000023</v>
      </c>
      <c r="H20" s="17">
        <v>46971.99</v>
      </c>
      <c r="I20" s="18">
        <f t="shared" si="1"/>
        <v>2471.0899999999747</v>
      </c>
      <c r="J20" s="19">
        <f t="shared" si="2"/>
        <v>2.0096157138255105E-2</v>
      </c>
      <c r="K20" s="11" t="str">
        <f>IF(ABS(J20)&gt;Parámetros!$C$5,"FUERA",IF(ABS(J20)&gt;Parámetros!$C$6,"ALERTA","OK"))</f>
        <v>FUERA</v>
      </c>
      <c r="L20" s="20">
        <v>18.8856</v>
      </c>
      <c r="M20" s="21">
        <f t="shared" si="3"/>
        <v>46668.017303999521</v>
      </c>
      <c r="N20" s="22">
        <f>SUMIFS('Detalle pipas'!$G$5:$G$281,'Detalle pipas'!$A$5:$A$281,A20,'Detalle pipas'!$B$5:$B$281,B20,'Detalle pipas'!$L$5:$L$281,"NO REGISTRADA*")</f>
        <v>0</v>
      </c>
      <c r="O20" s="17">
        <f t="shared" si="4"/>
        <v>2471.0899999999747</v>
      </c>
      <c r="P20" s="23">
        <f t="shared" si="5"/>
        <v>2.0096157138255105E-2</v>
      </c>
      <c r="R20" s="15" t="str">
        <f t="shared" si="6"/>
        <v>TEOLOYUCAN · Regular</v>
      </c>
    </row>
    <row r="21" spans="1:18" x14ac:dyDescent="0.3">
      <c r="A21" s="6" t="s">
        <v>29</v>
      </c>
      <c r="B21" s="16" t="s">
        <v>11</v>
      </c>
      <c r="C21" s="17">
        <v>37371.74</v>
      </c>
      <c r="D21" s="17">
        <f>SUMIFS('Detalle diario'!$E$5:$E$550,'Detalle diario'!$A$5:$A$550,A21,'Detalle diario'!$B$5:$B$550,B21)+SUMIFS('Detalle diario'!$L$5:$L$550,'Detalle diario'!$A$5:$A$550,A21,'Detalle diario'!$B$5:$B$550,B21)</f>
        <v>30314</v>
      </c>
      <c r="E21" s="17">
        <f>SUMIFS('Detalle diario'!$F$5:$F$550,'Detalle diario'!$A$5:$A$550,A21,'Detalle diario'!$B$5:$B$550,B21)</f>
        <v>53817.749999999993</v>
      </c>
      <c r="F21" s="17">
        <f>SUMIFS('Detalle diario'!$G$5:$G$550,'Detalle diario'!$A$5:$A$550,A21,'Detalle diario'!$B$5:$B$550,B21)</f>
        <v>0</v>
      </c>
      <c r="G21" s="17">
        <f t="shared" si="0"/>
        <v>13867.989999999998</v>
      </c>
      <c r="H21" s="17">
        <v>15762.24</v>
      </c>
      <c r="I21" s="18">
        <f t="shared" si="1"/>
        <v>1894.2500000000018</v>
      </c>
      <c r="J21" s="19">
        <f t="shared" si="2"/>
        <v>3.5197495250173079E-2</v>
      </c>
      <c r="K21" s="11" t="str">
        <f>IF(ABS(J21)&gt;Parámetros!$C$5,"FUERA",IF(ABS(J21)&gt;Parámetros!$C$6,"ALERTA","OK"))</f>
        <v>FUERA</v>
      </c>
      <c r="L21" s="20">
        <v>22.407499999999999</v>
      </c>
      <c r="M21" s="21">
        <f t="shared" si="3"/>
        <v>42445.406875000037</v>
      </c>
      <c r="N21" s="22">
        <f>SUMIFS('Detalle pipas'!$G$5:$G$281,'Detalle pipas'!$A$5:$A$281,A21,'Detalle pipas'!$B$5:$B$281,B21,'Detalle pipas'!$L$5:$L$281,"NO REGISTRADA*")</f>
        <v>0</v>
      </c>
      <c r="O21" s="17">
        <f t="shared" si="4"/>
        <v>1894.2500000000018</v>
      </c>
      <c r="P21" s="23">
        <f t="shared" si="5"/>
        <v>3.5197495250173079E-2</v>
      </c>
      <c r="R21" s="15" t="str">
        <f t="shared" si="6"/>
        <v>TEOLOYUCAN · Premium</v>
      </c>
    </row>
    <row r="22" spans="1:18" x14ac:dyDescent="0.3">
      <c r="A22" s="6" t="s">
        <v>29</v>
      </c>
      <c r="B22" s="16" t="s">
        <v>12</v>
      </c>
      <c r="C22" s="17">
        <v>60935.26</v>
      </c>
      <c r="D22" s="17">
        <f>SUMIFS('Detalle diario'!$E$5:$E$550,'Detalle diario'!$A$5:$A$550,A22,'Detalle diario'!$B$5:$B$550,B22)+SUMIFS('Detalle diario'!$L$5:$L$550,'Detalle diario'!$A$5:$A$550,A22,'Detalle diario'!$B$5:$B$550,B22)</f>
        <v>166412</v>
      </c>
      <c r="E22" s="17">
        <f>SUMIFS('Detalle diario'!$F$5:$F$550,'Detalle diario'!$A$5:$A$550,A22,'Detalle diario'!$B$5:$B$550,B22)</f>
        <v>194806.29000000004</v>
      </c>
      <c r="F22" s="17">
        <f>SUMIFS('Detalle diario'!$G$5:$G$550,'Detalle diario'!$A$5:$A$550,A22,'Detalle diario'!$B$5:$B$550,B22)</f>
        <v>0</v>
      </c>
      <c r="G22" s="17">
        <f t="shared" si="0"/>
        <v>32540.969999999972</v>
      </c>
      <c r="H22" s="17">
        <v>33537.730000000003</v>
      </c>
      <c r="I22" s="18">
        <f t="shared" si="1"/>
        <v>996.76000000003114</v>
      </c>
      <c r="J22" s="19">
        <f t="shared" si="2"/>
        <v>5.1166725674003186E-3</v>
      </c>
      <c r="K22" s="11" t="str">
        <f>IF(ABS(J22)&gt;Parámetros!$C$5,"FUERA",IF(ABS(J22)&gt;Parámetros!$C$6,"ALERTA","OK"))</f>
        <v>FUERA</v>
      </c>
      <c r="L22" s="20">
        <v>21.831199999999999</v>
      </c>
      <c r="M22" s="21">
        <f t="shared" si="3"/>
        <v>21760.46691200068</v>
      </c>
      <c r="N22" s="22">
        <f>SUMIFS('Detalle pipas'!$G$5:$G$281,'Detalle pipas'!$A$5:$A$281,A22,'Detalle pipas'!$B$5:$B$281,B22,'Detalle pipas'!$L$5:$L$281,"NO REGISTRADA*")</f>
        <v>0</v>
      </c>
      <c r="O22" s="17">
        <f t="shared" si="4"/>
        <v>996.76000000003114</v>
      </c>
      <c r="P22" s="23">
        <f t="shared" si="5"/>
        <v>5.1166725674003186E-3</v>
      </c>
      <c r="R22" s="15" t="str">
        <f t="shared" si="6"/>
        <v>TEOLOYUCAN · Diesel</v>
      </c>
    </row>
    <row r="23" spans="1:18" x14ac:dyDescent="0.3">
      <c r="A23" s="24" t="s">
        <v>51</v>
      </c>
      <c r="B23" s="25"/>
      <c r="C23" s="26">
        <f t="shared" ref="C23:I23" si="7">SUM(C5:C22)</f>
        <v>800950.45999999985</v>
      </c>
      <c r="D23" s="26">
        <f t="shared" si="7"/>
        <v>5246240</v>
      </c>
      <c r="E23" s="26">
        <f t="shared" si="7"/>
        <v>5377230.919999999</v>
      </c>
      <c r="F23" s="26">
        <f t="shared" si="7"/>
        <v>118213</v>
      </c>
      <c r="G23" s="26">
        <f t="shared" si="7"/>
        <v>788172.53999999992</v>
      </c>
      <c r="H23" s="26">
        <f t="shared" si="7"/>
        <v>814496.64999999991</v>
      </c>
      <c r="I23" s="26">
        <f t="shared" si="7"/>
        <v>26324.109999999921</v>
      </c>
      <c r="J23" s="27">
        <f t="shared" si="2"/>
        <v>4.895476945594876E-3</v>
      </c>
      <c r="K23" s="28" t="str">
        <f>IF(ABS(J23)&gt;Parámetros!$C$5,"FUERA",IF(ABS(J23)&gt;Parámetros!$C$6,"ALERTA","OK"))</f>
        <v>ALERTA</v>
      </c>
      <c r="L23" s="25"/>
      <c r="M23" s="29">
        <f>SUM(M5:M22)</f>
        <v>509745.68862299784</v>
      </c>
      <c r="N23" s="26">
        <f>SUM(N5:N22)</f>
        <v>33465</v>
      </c>
      <c r="O23" s="26">
        <f>SUM(O5:O22)</f>
        <v>-7140.8900000000813</v>
      </c>
      <c r="P23" s="27">
        <f t="shared" si="5"/>
        <v>-1.3279864871416165E-3</v>
      </c>
    </row>
    <row r="25" spans="1:18" x14ac:dyDescent="0.3">
      <c r="A25" s="14" t="s">
        <v>52</v>
      </c>
    </row>
    <row r="26" spans="1:18" x14ac:dyDescent="0.3">
      <c r="A26" s="14" t="s">
        <v>53</v>
      </c>
    </row>
    <row r="27" spans="1:18" x14ac:dyDescent="0.3">
      <c r="A27" s="14" t="s">
        <v>54</v>
      </c>
    </row>
    <row r="28" spans="1:18" x14ac:dyDescent="0.3">
      <c r="A28" s="14" t="s">
        <v>55</v>
      </c>
    </row>
  </sheetData>
  <autoFilter ref="A4:P23" xr:uid="{00000000-0009-0000-0000-000001000000}"/>
  <conditionalFormatting sqref="J5:J23">
    <cfRule type="expression" dxfId="29" priority="6" stopIfTrue="1">
      <formula>ISNUMBER(J5)</formula>
    </cfRule>
  </conditionalFormatting>
  <conditionalFormatting sqref="K5:K23">
    <cfRule type="expression" dxfId="28" priority="1">
      <formula>K5="FUERA"</formula>
    </cfRule>
    <cfRule type="expression" dxfId="27" priority="2">
      <formula>K5="ALERTA"</formula>
    </cfRule>
    <cfRule type="expression" dxfId="26" priority="3">
      <formula>K5="OK"</formula>
    </cfRule>
  </conditionalFormatting>
  <conditionalFormatting sqref="N5:N22">
    <cfRule type="cellIs" dxfId="25" priority="10" operator="greaterThan">
      <formula>0</formula>
    </cfRule>
  </conditionalFormatting>
  <conditionalFormatting sqref="P5:P23">
    <cfRule type="expression" dxfId="22" priority="9" stopIfTrue="1">
      <formula>ISNUMBER(P5)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00000000-000E-0000-0100-000004000000}">
            <xm:f>AND(ISNUMBER(J5),ABS(J5)&gt;Parámetros!$C$5)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expression" priority="5" stopIfTrue="1" id="{00000000-000E-0000-0100-000005000000}">
            <xm:f>AND(ISNUMBER(J5),ABS(J5)&gt;Parámetros!$C$6)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m:sqref>J5:J23</xm:sqref>
        </x14:conditionalFormatting>
        <x14:conditionalFormatting xmlns:xm="http://schemas.microsoft.com/office/excel/2006/main">
          <x14:cfRule type="expression" priority="7" stopIfTrue="1" id="{00000000-000E-0000-0100-000007000000}">
            <xm:f>AND(ISNUMBER(P5),ABS(P5)&gt;Parámetros!$C$5)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expression" priority="8" stopIfTrue="1" id="{00000000-000E-0000-0100-000008000000}">
            <xm:f>AND(ISNUMBER(P5),ABS(P5)&gt;Parámetros!$C$6)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m:sqref>P5:P23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E5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0" customWidth="1"/>
    <col min="3" max="4" width="12" customWidth="1"/>
    <col min="5" max="5" width="60" customWidth="1"/>
  </cols>
  <sheetData>
    <row r="1" spans="1:5" ht="25.95" customHeight="1" x14ac:dyDescent="0.4">
      <c r="A1" s="1" t="s">
        <v>56</v>
      </c>
      <c r="B1" s="2"/>
      <c r="C1" s="2"/>
      <c r="D1" s="2"/>
      <c r="E1" s="2"/>
    </row>
    <row r="2" spans="1:5" x14ac:dyDescent="0.3">
      <c r="A2" s="3" t="s">
        <v>1</v>
      </c>
      <c r="B2" s="2"/>
      <c r="C2" s="2"/>
      <c r="D2" s="2"/>
      <c r="E2" s="2"/>
    </row>
    <row r="4" spans="1:5" ht="31.95" customHeight="1" x14ac:dyDescent="0.3">
      <c r="A4" s="5" t="s">
        <v>9</v>
      </c>
      <c r="B4" s="5" t="s">
        <v>37</v>
      </c>
      <c r="C4" s="5" t="s">
        <v>57</v>
      </c>
      <c r="D4" s="5" t="s">
        <v>58</v>
      </c>
      <c r="E4" s="5" t="s">
        <v>59</v>
      </c>
    </row>
    <row r="5" spans="1:5" x14ac:dyDescent="0.3">
      <c r="A5" s="30" t="s">
        <v>60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A9DB"/>
    <pageSetUpPr fitToPage="1"/>
  </sheetPr>
  <dimension ref="A1:L550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4" customWidth="1"/>
    <col min="2" max="2" width="10" customWidth="1"/>
    <col min="3" max="3" width="11" customWidth="1"/>
    <col min="4" max="4" width="13" customWidth="1"/>
    <col min="5" max="6" width="12" customWidth="1"/>
    <col min="7" max="7" width="9" customWidth="1"/>
    <col min="8" max="9" width="13" customWidth="1"/>
    <col min="10" max="10" width="11" customWidth="1"/>
    <col min="11" max="11" width="10" customWidth="1"/>
    <col min="12" max="12" width="12" customWidth="1"/>
  </cols>
  <sheetData>
    <row r="1" spans="1:12" ht="25.95" customHeight="1" x14ac:dyDescent="0.4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31.95" customHeight="1" x14ac:dyDescent="0.3">
      <c r="A4" s="5" t="s">
        <v>9</v>
      </c>
      <c r="B4" s="5" t="s">
        <v>37</v>
      </c>
      <c r="C4" s="5" t="s">
        <v>57</v>
      </c>
      <c r="D4" s="5" t="s">
        <v>62</v>
      </c>
      <c r="E4" s="5" t="s">
        <v>39</v>
      </c>
      <c r="F4" s="5" t="s">
        <v>40</v>
      </c>
      <c r="G4" s="5" t="s">
        <v>41</v>
      </c>
      <c r="H4" s="5" t="s">
        <v>63</v>
      </c>
      <c r="I4" s="5" t="s">
        <v>64</v>
      </c>
      <c r="J4" s="5" t="s">
        <v>65</v>
      </c>
      <c r="K4" s="5" t="s">
        <v>44</v>
      </c>
      <c r="L4" s="5" t="s">
        <v>66</v>
      </c>
    </row>
    <row r="5" spans="1:12" x14ac:dyDescent="0.3">
      <c r="A5" s="16" t="s">
        <v>21</v>
      </c>
      <c r="B5" s="16" t="s">
        <v>10</v>
      </c>
      <c r="C5" s="31">
        <v>46235</v>
      </c>
      <c r="D5" s="17">
        <v>39387.69</v>
      </c>
      <c r="E5" s="17">
        <v>36301</v>
      </c>
      <c r="F5" s="17">
        <v>21890.23</v>
      </c>
      <c r="G5" s="17">
        <v>0</v>
      </c>
      <c r="H5" s="17">
        <f t="shared" ref="H5:H68" si="0">D5+E5+L5-F5+G5</f>
        <v>53798.460000000006</v>
      </c>
      <c r="I5" s="17">
        <v>53530.23</v>
      </c>
      <c r="J5" s="17">
        <f t="shared" ref="J5:J68" si="1">I5-H5</f>
        <v>-268.2300000000032</v>
      </c>
      <c r="K5" s="23">
        <f t="shared" ref="K5:K68" si="2">IF(F5=0,0,J5/F5)</f>
        <v>-1.2253411681832636E-2</v>
      </c>
      <c r="L5" s="17">
        <f>SUMIFS('Registros manuales'!$D$5:$D$104,'Registros manuales'!$A$5:$A$104,A5,'Registros manuales'!$B$5:$B$104,B5,'Registros manuales'!$C$5:$C$104,C5)</f>
        <v>0</v>
      </c>
    </row>
    <row r="6" spans="1:12" x14ac:dyDescent="0.3">
      <c r="A6" s="16" t="s">
        <v>21</v>
      </c>
      <c r="B6" s="16" t="s">
        <v>10</v>
      </c>
      <c r="C6" s="31">
        <v>46236</v>
      </c>
      <c r="D6" s="17">
        <v>53530.23</v>
      </c>
      <c r="E6" s="17">
        <v>0</v>
      </c>
      <c r="F6" s="17">
        <v>21607.51</v>
      </c>
      <c r="G6" s="17">
        <v>0</v>
      </c>
      <c r="H6" s="17">
        <f t="shared" si="0"/>
        <v>31922.720000000005</v>
      </c>
      <c r="I6" s="17">
        <v>31700.799999999999</v>
      </c>
      <c r="J6" s="17">
        <f t="shared" si="1"/>
        <v>-221.92000000000553</v>
      </c>
      <c r="K6" s="23">
        <f t="shared" si="2"/>
        <v>-1.0270503172276933E-2</v>
      </c>
      <c r="L6" s="17">
        <f>SUMIFS('Registros manuales'!$D$5:$D$104,'Registros manuales'!$A$5:$A$104,A6,'Registros manuales'!$B$5:$B$104,B6,'Registros manuales'!$C$5:$C$104,C6)</f>
        <v>0</v>
      </c>
    </row>
    <row r="7" spans="1:12" x14ac:dyDescent="0.3">
      <c r="A7" s="16" t="s">
        <v>21</v>
      </c>
      <c r="B7" s="16" t="s">
        <v>10</v>
      </c>
      <c r="C7" s="31">
        <v>46237</v>
      </c>
      <c r="D7" s="17">
        <v>31700.799999999999</v>
      </c>
      <c r="E7" s="17">
        <v>0</v>
      </c>
      <c r="F7" s="17">
        <v>21480.42</v>
      </c>
      <c r="G7" s="17">
        <v>0</v>
      </c>
      <c r="H7" s="17">
        <f t="shared" si="0"/>
        <v>10220.380000000001</v>
      </c>
      <c r="I7" s="17">
        <v>46203.5</v>
      </c>
      <c r="J7" s="17">
        <f t="shared" si="1"/>
        <v>35983.119999999995</v>
      </c>
      <c r="K7" s="23">
        <f t="shared" si="2"/>
        <v>1.6751590518248711</v>
      </c>
      <c r="L7" s="17">
        <f>SUMIFS('Registros manuales'!$D$5:$D$104,'Registros manuales'!$A$5:$A$104,A7,'Registros manuales'!$B$5:$B$104,B7,'Registros manuales'!$C$5:$C$104,C7)</f>
        <v>0</v>
      </c>
    </row>
    <row r="8" spans="1:12" x14ac:dyDescent="0.3">
      <c r="A8" s="16" t="s">
        <v>21</v>
      </c>
      <c r="B8" s="16" t="s">
        <v>10</v>
      </c>
      <c r="C8" s="31">
        <v>46238</v>
      </c>
      <c r="D8" s="17">
        <v>46203.5</v>
      </c>
      <c r="E8" s="17">
        <v>71939</v>
      </c>
      <c r="F8" s="17">
        <v>19654.400000000001</v>
      </c>
      <c r="G8" s="17">
        <v>0</v>
      </c>
      <c r="H8" s="17">
        <f t="shared" si="0"/>
        <v>98488.1</v>
      </c>
      <c r="I8" s="17">
        <v>62940.98</v>
      </c>
      <c r="J8" s="17">
        <f t="shared" si="1"/>
        <v>-35547.120000000003</v>
      </c>
      <c r="K8" s="23">
        <f t="shared" si="2"/>
        <v>-1.8086087593617715</v>
      </c>
      <c r="L8" s="17">
        <f>SUMIFS('Registros manuales'!$D$5:$D$104,'Registros manuales'!$A$5:$A$104,A8,'Registros manuales'!$B$5:$B$104,B8,'Registros manuales'!$C$5:$C$104,C8)</f>
        <v>0</v>
      </c>
    </row>
    <row r="9" spans="1:12" x14ac:dyDescent="0.3">
      <c r="A9" s="16" t="s">
        <v>21</v>
      </c>
      <c r="B9" s="16" t="s">
        <v>10</v>
      </c>
      <c r="C9" s="31">
        <v>46239</v>
      </c>
      <c r="D9" s="17">
        <v>62940.98</v>
      </c>
      <c r="E9" s="17">
        <v>36205</v>
      </c>
      <c r="F9" s="17">
        <v>18995.34</v>
      </c>
      <c r="G9" s="17">
        <v>0</v>
      </c>
      <c r="H9" s="17">
        <f t="shared" si="0"/>
        <v>80150.640000000014</v>
      </c>
      <c r="I9" s="17">
        <v>80328.179999999993</v>
      </c>
      <c r="J9" s="17">
        <f t="shared" si="1"/>
        <v>177.53999999997905</v>
      </c>
      <c r="K9" s="23">
        <f t="shared" si="2"/>
        <v>9.3465028791260927E-3</v>
      </c>
      <c r="L9" s="17">
        <f>SUMIFS('Registros manuales'!$D$5:$D$104,'Registros manuales'!$A$5:$A$104,A9,'Registros manuales'!$B$5:$B$104,B9,'Registros manuales'!$C$5:$C$104,C9)</f>
        <v>0</v>
      </c>
    </row>
    <row r="10" spans="1:12" x14ac:dyDescent="0.3">
      <c r="A10" s="16" t="s">
        <v>21</v>
      </c>
      <c r="B10" s="16" t="s">
        <v>10</v>
      </c>
      <c r="C10" s="31">
        <v>46240</v>
      </c>
      <c r="D10" s="17">
        <v>80328.179999999993</v>
      </c>
      <c r="E10" s="17">
        <v>0</v>
      </c>
      <c r="F10" s="17">
        <v>18973.63</v>
      </c>
      <c r="G10" s="17">
        <v>0</v>
      </c>
      <c r="H10" s="17">
        <f t="shared" si="0"/>
        <v>61354.549999999988</v>
      </c>
      <c r="I10" s="17">
        <v>60852.39</v>
      </c>
      <c r="J10" s="17">
        <f t="shared" si="1"/>
        <v>-502.15999999998894</v>
      </c>
      <c r="K10" s="23">
        <f t="shared" si="2"/>
        <v>-2.6466205992210712E-2</v>
      </c>
      <c r="L10" s="17">
        <f>SUMIFS('Registros manuales'!$D$5:$D$104,'Registros manuales'!$A$5:$A$104,A10,'Registros manuales'!$B$5:$B$104,B10,'Registros manuales'!$C$5:$C$104,C10)</f>
        <v>0</v>
      </c>
    </row>
    <row r="11" spans="1:12" x14ac:dyDescent="0.3">
      <c r="A11" s="16" t="s">
        <v>21</v>
      </c>
      <c r="B11" s="16" t="s">
        <v>10</v>
      </c>
      <c r="C11" s="31">
        <v>46241</v>
      </c>
      <c r="D11" s="17">
        <v>60852.39</v>
      </c>
      <c r="E11" s="17">
        <v>0</v>
      </c>
      <c r="F11" s="17">
        <v>20761.099999999999</v>
      </c>
      <c r="G11" s="17">
        <v>0</v>
      </c>
      <c r="H11" s="17">
        <f t="shared" si="0"/>
        <v>40091.29</v>
      </c>
      <c r="I11" s="17">
        <v>76261.009999999995</v>
      </c>
      <c r="J11" s="17">
        <f t="shared" si="1"/>
        <v>36169.719999999994</v>
      </c>
      <c r="K11" s="23">
        <f t="shared" si="2"/>
        <v>1.7421870710126148</v>
      </c>
      <c r="L11" s="17">
        <f>SUMIFS('Registros manuales'!$D$5:$D$104,'Registros manuales'!$A$5:$A$104,A11,'Registros manuales'!$B$5:$B$104,B11,'Registros manuales'!$C$5:$C$104,C11)</f>
        <v>0</v>
      </c>
    </row>
    <row r="12" spans="1:12" x14ac:dyDescent="0.3">
      <c r="A12" s="16" t="s">
        <v>21</v>
      </c>
      <c r="B12" s="16" t="s">
        <v>10</v>
      </c>
      <c r="C12" s="31">
        <v>46242</v>
      </c>
      <c r="D12" s="17">
        <v>76261.009999999995</v>
      </c>
      <c r="E12" s="17">
        <v>0</v>
      </c>
      <c r="F12" s="17">
        <v>22083.9</v>
      </c>
      <c r="G12" s="17">
        <v>0</v>
      </c>
      <c r="H12" s="17">
        <f t="shared" si="0"/>
        <v>54177.109999999993</v>
      </c>
      <c r="I12" s="17">
        <v>53582.48</v>
      </c>
      <c r="J12" s="17">
        <f t="shared" si="1"/>
        <v>-594.6299999999901</v>
      </c>
      <c r="K12" s="23">
        <f t="shared" si="2"/>
        <v>-2.6925950579380908E-2</v>
      </c>
      <c r="L12" s="17">
        <f>SUMIFS('Registros manuales'!$D$5:$D$104,'Registros manuales'!$A$5:$A$104,A12,'Registros manuales'!$B$5:$B$104,B12,'Registros manuales'!$C$5:$C$104,C12)</f>
        <v>0</v>
      </c>
    </row>
    <row r="13" spans="1:12" x14ac:dyDescent="0.3">
      <c r="A13" s="16" t="s">
        <v>21</v>
      </c>
      <c r="B13" s="16" t="s">
        <v>10</v>
      </c>
      <c r="C13" s="31">
        <v>46243</v>
      </c>
      <c r="D13" s="17">
        <v>53582.48</v>
      </c>
      <c r="E13" s="17">
        <v>35932</v>
      </c>
      <c r="F13" s="17">
        <v>20327.96</v>
      </c>
      <c r="G13" s="17">
        <v>0</v>
      </c>
      <c r="H13" s="17">
        <f t="shared" si="0"/>
        <v>69186.520000000019</v>
      </c>
      <c r="I13" s="17">
        <v>32968.449999999997</v>
      </c>
      <c r="J13" s="17">
        <f t="shared" si="1"/>
        <v>-36218.070000000022</v>
      </c>
      <c r="K13" s="23">
        <f t="shared" si="2"/>
        <v>-1.7816873901758967</v>
      </c>
      <c r="L13" s="17">
        <f>SUMIFS('Registros manuales'!$D$5:$D$104,'Registros manuales'!$A$5:$A$104,A13,'Registros manuales'!$B$5:$B$104,B13,'Registros manuales'!$C$5:$C$104,C13)</f>
        <v>0</v>
      </c>
    </row>
    <row r="14" spans="1:12" x14ac:dyDescent="0.3">
      <c r="A14" s="16" t="s">
        <v>21</v>
      </c>
      <c r="B14" s="16" t="s">
        <v>10</v>
      </c>
      <c r="C14" s="31">
        <v>46244</v>
      </c>
      <c r="D14" s="17">
        <v>32968.449999999997</v>
      </c>
      <c r="E14" s="17">
        <v>0</v>
      </c>
      <c r="F14" s="17">
        <v>19657.009999999998</v>
      </c>
      <c r="G14" s="17">
        <v>0</v>
      </c>
      <c r="H14" s="17">
        <f t="shared" si="0"/>
        <v>13311.439999999999</v>
      </c>
      <c r="I14" s="17">
        <v>49495.199999999997</v>
      </c>
      <c r="J14" s="17">
        <f t="shared" si="1"/>
        <v>36183.759999999995</v>
      </c>
      <c r="K14" s="23">
        <f t="shared" si="2"/>
        <v>1.8407560458075769</v>
      </c>
      <c r="L14" s="17">
        <f>SUMIFS('Registros manuales'!$D$5:$D$104,'Registros manuales'!$A$5:$A$104,A14,'Registros manuales'!$B$5:$B$104,B14,'Registros manuales'!$C$5:$C$104,C14)</f>
        <v>0</v>
      </c>
    </row>
    <row r="15" spans="1:12" x14ac:dyDescent="0.3">
      <c r="A15" s="16" t="s">
        <v>21</v>
      </c>
      <c r="B15" s="16" t="s">
        <v>10</v>
      </c>
      <c r="C15" s="31">
        <v>46245</v>
      </c>
      <c r="D15" s="17">
        <v>49495.199999999997</v>
      </c>
      <c r="E15" s="17">
        <v>72420</v>
      </c>
      <c r="F15" s="17">
        <v>19919.71</v>
      </c>
      <c r="G15" s="17">
        <v>0</v>
      </c>
      <c r="H15" s="17">
        <f t="shared" si="0"/>
        <v>101995.48999999999</v>
      </c>
      <c r="I15" s="17">
        <v>65871.94</v>
      </c>
      <c r="J15" s="17">
        <f t="shared" si="1"/>
        <v>-36123.549999999988</v>
      </c>
      <c r="K15" s="23">
        <f t="shared" si="2"/>
        <v>-1.8134576256381238</v>
      </c>
      <c r="L15" s="17">
        <f>SUMIFS('Registros manuales'!$D$5:$D$104,'Registros manuales'!$A$5:$A$104,A15,'Registros manuales'!$B$5:$B$104,B15,'Registros manuales'!$C$5:$C$104,C15)</f>
        <v>0</v>
      </c>
    </row>
    <row r="16" spans="1:12" x14ac:dyDescent="0.3">
      <c r="A16" s="16" t="s">
        <v>21</v>
      </c>
      <c r="B16" s="16" t="s">
        <v>10</v>
      </c>
      <c r="C16" s="31">
        <v>46246</v>
      </c>
      <c r="D16" s="17">
        <v>65871.94</v>
      </c>
      <c r="E16" s="17">
        <v>36007</v>
      </c>
      <c r="F16" s="17">
        <v>19356.400000000001</v>
      </c>
      <c r="G16" s="17">
        <v>0</v>
      </c>
      <c r="H16" s="17">
        <f t="shared" si="0"/>
        <v>82522.540000000008</v>
      </c>
      <c r="I16" s="17">
        <v>82826.429999999993</v>
      </c>
      <c r="J16" s="17">
        <f t="shared" si="1"/>
        <v>303.88999999998487</v>
      </c>
      <c r="K16" s="23">
        <f t="shared" si="2"/>
        <v>1.5699716889503463E-2</v>
      </c>
      <c r="L16" s="17">
        <f>SUMIFS('Registros manuales'!$D$5:$D$104,'Registros manuales'!$A$5:$A$104,A16,'Registros manuales'!$B$5:$B$104,B16,'Registros manuales'!$C$5:$C$104,C16)</f>
        <v>0</v>
      </c>
    </row>
    <row r="17" spans="1:12" x14ac:dyDescent="0.3">
      <c r="A17" s="16" t="s">
        <v>21</v>
      </c>
      <c r="B17" s="16" t="s">
        <v>10</v>
      </c>
      <c r="C17" s="31">
        <v>46247</v>
      </c>
      <c r="D17" s="17">
        <v>82826.429999999993</v>
      </c>
      <c r="E17" s="17">
        <v>0</v>
      </c>
      <c r="F17" s="17">
        <v>18476.939999999999</v>
      </c>
      <c r="G17" s="17">
        <v>0</v>
      </c>
      <c r="H17" s="17">
        <f t="shared" si="0"/>
        <v>64349.489999999991</v>
      </c>
      <c r="I17" s="17">
        <v>63792.03</v>
      </c>
      <c r="J17" s="17">
        <f t="shared" si="1"/>
        <v>-557.45999999999185</v>
      </c>
      <c r="K17" s="23">
        <f t="shared" si="2"/>
        <v>-3.0170580193473157E-2</v>
      </c>
      <c r="L17" s="17">
        <f>SUMIFS('Registros manuales'!$D$5:$D$104,'Registros manuales'!$A$5:$A$104,A17,'Registros manuales'!$B$5:$B$104,B17,'Registros manuales'!$C$5:$C$104,C17)</f>
        <v>0</v>
      </c>
    </row>
    <row r="18" spans="1:12" x14ac:dyDescent="0.3">
      <c r="A18" s="16" t="s">
        <v>21</v>
      </c>
      <c r="B18" s="16" t="s">
        <v>10</v>
      </c>
      <c r="C18" s="31">
        <v>46248</v>
      </c>
      <c r="D18" s="17">
        <v>63792.03</v>
      </c>
      <c r="E18" s="17">
        <v>35995</v>
      </c>
      <c r="F18" s="17">
        <v>21772.29</v>
      </c>
      <c r="G18" s="17">
        <v>0</v>
      </c>
      <c r="H18" s="17">
        <f t="shared" si="0"/>
        <v>78014.739999999991</v>
      </c>
      <c r="I18" s="17">
        <v>78061.72</v>
      </c>
      <c r="J18" s="17">
        <f t="shared" si="1"/>
        <v>46.980000000010477</v>
      </c>
      <c r="K18" s="23">
        <f t="shared" si="2"/>
        <v>2.1577886386783601E-3</v>
      </c>
      <c r="L18" s="17">
        <f>SUMIFS('Registros manuales'!$D$5:$D$104,'Registros manuales'!$A$5:$A$104,A18,'Registros manuales'!$B$5:$B$104,B18,'Registros manuales'!$C$5:$C$104,C18)</f>
        <v>0</v>
      </c>
    </row>
    <row r="19" spans="1:12" x14ac:dyDescent="0.3">
      <c r="A19" s="16" t="s">
        <v>21</v>
      </c>
      <c r="B19" s="16" t="s">
        <v>10</v>
      </c>
      <c r="C19" s="31">
        <v>46249</v>
      </c>
      <c r="D19" s="17">
        <v>78061.72</v>
      </c>
      <c r="E19" s="17">
        <v>36177</v>
      </c>
      <c r="F19" s="17">
        <v>24415.53</v>
      </c>
      <c r="G19" s="17">
        <v>0</v>
      </c>
      <c r="H19" s="17">
        <f t="shared" si="0"/>
        <v>89823.19</v>
      </c>
      <c r="I19" s="17">
        <v>89634.55</v>
      </c>
      <c r="J19" s="17">
        <f t="shared" si="1"/>
        <v>-188.63999999999942</v>
      </c>
      <c r="K19" s="23">
        <f t="shared" si="2"/>
        <v>-7.7262299855870185E-3</v>
      </c>
      <c r="L19" s="17">
        <f>SUMIFS('Registros manuales'!$D$5:$D$104,'Registros manuales'!$A$5:$A$104,A19,'Registros manuales'!$B$5:$B$104,B19,'Registros manuales'!$C$5:$C$104,C19)</f>
        <v>0</v>
      </c>
    </row>
    <row r="20" spans="1:12" x14ac:dyDescent="0.3">
      <c r="A20" s="16" t="s">
        <v>21</v>
      </c>
      <c r="B20" s="16" t="s">
        <v>10</v>
      </c>
      <c r="C20" s="31">
        <v>46250</v>
      </c>
      <c r="D20" s="17">
        <v>89634.55</v>
      </c>
      <c r="E20" s="17">
        <v>0</v>
      </c>
      <c r="F20" s="17">
        <v>20730.060000000001</v>
      </c>
      <c r="G20" s="17">
        <v>0</v>
      </c>
      <c r="H20" s="17">
        <f t="shared" si="0"/>
        <v>68904.490000000005</v>
      </c>
      <c r="I20" s="17">
        <v>68277.89</v>
      </c>
      <c r="J20" s="17">
        <f t="shared" si="1"/>
        <v>-626.60000000000582</v>
      </c>
      <c r="K20" s="23">
        <f t="shared" si="2"/>
        <v>-3.0226637067138531E-2</v>
      </c>
      <c r="L20" s="17">
        <f>SUMIFS('Registros manuales'!$D$5:$D$104,'Registros manuales'!$A$5:$A$104,A20,'Registros manuales'!$B$5:$B$104,B20,'Registros manuales'!$C$5:$C$104,C20)</f>
        <v>0</v>
      </c>
    </row>
    <row r="21" spans="1:12" x14ac:dyDescent="0.3">
      <c r="A21" s="16" t="s">
        <v>21</v>
      </c>
      <c r="B21" s="16" t="s">
        <v>10</v>
      </c>
      <c r="C21" s="31">
        <v>46251</v>
      </c>
      <c r="D21" s="17">
        <v>68277.89</v>
      </c>
      <c r="E21" s="17">
        <v>0</v>
      </c>
      <c r="F21" s="17">
        <v>21453.46</v>
      </c>
      <c r="G21" s="17">
        <v>0</v>
      </c>
      <c r="H21" s="17">
        <f t="shared" si="0"/>
        <v>46824.43</v>
      </c>
      <c r="I21" s="17">
        <v>46392.91</v>
      </c>
      <c r="J21" s="17">
        <f t="shared" si="1"/>
        <v>-431.5199999999968</v>
      </c>
      <c r="K21" s="23">
        <f t="shared" si="2"/>
        <v>-2.0114237983057129E-2</v>
      </c>
      <c r="L21" s="17">
        <f>SUMIFS('Registros manuales'!$D$5:$D$104,'Registros manuales'!$A$5:$A$104,A21,'Registros manuales'!$B$5:$B$104,B21,'Registros manuales'!$C$5:$C$104,C21)</f>
        <v>0</v>
      </c>
    </row>
    <row r="22" spans="1:12" x14ac:dyDescent="0.3">
      <c r="A22" s="16" t="s">
        <v>21</v>
      </c>
      <c r="B22" s="16" t="s">
        <v>10</v>
      </c>
      <c r="C22" s="31">
        <v>46252</v>
      </c>
      <c r="D22" s="17">
        <v>46392.91</v>
      </c>
      <c r="E22" s="17">
        <v>36179</v>
      </c>
      <c r="F22" s="17">
        <v>19008.48</v>
      </c>
      <c r="G22" s="17">
        <v>0</v>
      </c>
      <c r="H22" s="17">
        <f t="shared" si="0"/>
        <v>63563.430000000008</v>
      </c>
      <c r="I22" s="17">
        <v>63420.93</v>
      </c>
      <c r="J22" s="17">
        <f t="shared" si="1"/>
        <v>-142.50000000000728</v>
      </c>
      <c r="K22" s="23">
        <f t="shared" si="2"/>
        <v>-7.4966541248962185E-3</v>
      </c>
      <c r="L22" s="17">
        <f>SUMIFS('Registros manuales'!$D$5:$D$104,'Registros manuales'!$A$5:$A$104,A22,'Registros manuales'!$B$5:$B$104,B22,'Registros manuales'!$C$5:$C$104,C22)</f>
        <v>0</v>
      </c>
    </row>
    <row r="23" spans="1:12" x14ac:dyDescent="0.3">
      <c r="A23" s="16" t="s">
        <v>21</v>
      </c>
      <c r="B23" s="16" t="s">
        <v>10</v>
      </c>
      <c r="C23" s="31">
        <v>46253</v>
      </c>
      <c r="D23" s="17">
        <v>63420.93</v>
      </c>
      <c r="E23" s="17">
        <v>35938</v>
      </c>
      <c r="F23" s="17">
        <v>19663.939999999999</v>
      </c>
      <c r="G23" s="17">
        <v>0</v>
      </c>
      <c r="H23" s="17">
        <f t="shared" si="0"/>
        <v>79694.989999999991</v>
      </c>
      <c r="I23" s="17">
        <v>79927.11</v>
      </c>
      <c r="J23" s="17">
        <f t="shared" si="1"/>
        <v>232.1200000000099</v>
      </c>
      <c r="K23" s="23">
        <f t="shared" si="2"/>
        <v>1.1804348467296479E-2</v>
      </c>
      <c r="L23" s="17">
        <f>SUMIFS('Registros manuales'!$D$5:$D$104,'Registros manuales'!$A$5:$A$104,A23,'Registros manuales'!$B$5:$B$104,B23,'Registros manuales'!$C$5:$C$104,C23)</f>
        <v>0</v>
      </c>
    </row>
    <row r="24" spans="1:12" x14ac:dyDescent="0.3">
      <c r="A24" s="16" t="s">
        <v>21</v>
      </c>
      <c r="B24" s="16" t="s">
        <v>10</v>
      </c>
      <c r="C24" s="31">
        <v>46254</v>
      </c>
      <c r="D24" s="17">
        <v>79927.11</v>
      </c>
      <c r="E24" s="17">
        <v>0</v>
      </c>
      <c r="F24" s="17">
        <v>20676.86</v>
      </c>
      <c r="G24" s="17">
        <v>0</v>
      </c>
      <c r="H24" s="17">
        <f t="shared" si="0"/>
        <v>59250.25</v>
      </c>
      <c r="I24" s="17">
        <v>58689.5</v>
      </c>
      <c r="J24" s="17">
        <f t="shared" si="1"/>
        <v>-560.75</v>
      </c>
      <c r="K24" s="23">
        <f t="shared" si="2"/>
        <v>-2.7119688385954153E-2</v>
      </c>
      <c r="L24" s="17">
        <f>SUMIFS('Registros manuales'!$D$5:$D$104,'Registros manuales'!$A$5:$A$104,A24,'Registros manuales'!$B$5:$B$104,B24,'Registros manuales'!$C$5:$C$104,C24)</f>
        <v>0</v>
      </c>
    </row>
    <row r="25" spans="1:12" x14ac:dyDescent="0.3">
      <c r="A25" s="16" t="s">
        <v>21</v>
      </c>
      <c r="B25" s="16" t="s">
        <v>10</v>
      </c>
      <c r="C25" s="31">
        <v>46255</v>
      </c>
      <c r="D25" s="17">
        <v>58689.5</v>
      </c>
      <c r="E25" s="17">
        <v>0</v>
      </c>
      <c r="F25" s="17">
        <v>20847.099999999999</v>
      </c>
      <c r="G25" s="17">
        <v>0</v>
      </c>
      <c r="H25" s="17">
        <f t="shared" si="0"/>
        <v>37842.400000000001</v>
      </c>
      <c r="I25" s="17">
        <v>37533.449999999997</v>
      </c>
      <c r="J25" s="17">
        <f t="shared" si="1"/>
        <v>-308.95000000000437</v>
      </c>
      <c r="K25" s="23">
        <f t="shared" si="2"/>
        <v>-1.4819807071487372E-2</v>
      </c>
      <c r="L25" s="17">
        <f>SUMIFS('Registros manuales'!$D$5:$D$104,'Registros manuales'!$A$5:$A$104,A25,'Registros manuales'!$B$5:$B$104,B25,'Registros manuales'!$C$5:$C$104,C25)</f>
        <v>0</v>
      </c>
    </row>
    <row r="26" spans="1:12" x14ac:dyDescent="0.3">
      <c r="A26" s="16" t="s">
        <v>21</v>
      </c>
      <c r="B26" s="16" t="s">
        <v>10</v>
      </c>
      <c r="C26" s="31">
        <v>46256</v>
      </c>
      <c r="D26" s="17">
        <v>37533.449999999997</v>
      </c>
      <c r="E26" s="17">
        <v>71961</v>
      </c>
      <c r="F26" s="17">
        <v>21486.75</v>
      </c>
      <c r="G26" s="17">
        <v>0</v>
      </c>
      <c r="H26" s="17">
        <f t="shared" si="0"/>
        <v>88007.7</v>
      </c>
      <c r="I26" s="17">
        <v>88479.8</v>
      </c>
      <c r="J26" s="17">
        <f t="shared" si="1"/>
        <v>472.10000000000582</v>
      </c>
      <c r="K26" s="23">
        <f t="shared" si="2"/>
        <v>2.1971680221532144E-2</v>
      </c>
      <c r="L26" s="17">
        <f>SUMIFS('Registros manuales'!$D$5:$D$104,'Registros manuales'!$A$5:$A$104,A26,'Registros manuales'!$B$5:$B$104,B26,'Registros manuales'!$C$5:$C$104,C26)</f>
        <v>0</v>
      </c>
    </row>
    <row r="27" spans="1:12" x14ac:dyDescent="0.3">
      <c r="A27" s="16" t="s">
        <v>21</v>
      </c>
      <c r="B27" s="16" t="s">
        <v>10</v>
      </c>
      <c r="C27" s="31">
        <v>46257</v>
      </c>
      <c r="D27" s="17">
        <v>88479.8</v>
      </c>
      <c r="E27" s="17">
        <v>0</v>
      </c>
      <c r="F27" s="17">
        <v>21081.14</v>
      </c>
      <c r="G27" s="17">
        <v>0</v>
      </c>
      <c r="H27" s="17">
        <f t="shared" si="0"/>
        <v>67398.66</v>
      </c>
      <c r="I27" s="17">
        <v>66745.25</v>
      </c>
      <c r="J27" s="17">
        <f t="shared" si="1"/>
        <v>-653.41000000000349</v>
      </c>
      <c r="K27" s="23">
        <f t="shared" si="2"/>
        <v>-3.0995003116529918E-2</v>
      </c>
      <c r="L27" s="17">
        <f>SUMIFS('Registros manuales'!$D$5:$D$104,'Registros manuales'!$A$5:$A$104,A27,'Registros manuales'!$B$5:$B$104,B27,'Registros manuales'!$C$5:$C$104,C27)</f>
        <v>0</v>
      </c>
    </row>
    <row r="28" spans="1:12" x14ac:dyDescent="0.3">
      <c r="A28" s="16" t="s">
        <v>21</v>
      </c>
      <c r="B28" s="16" t="s">
        <v>10</v>
      </c>
      <c r="C28" s="31">
        <v>46258</v>
      </c>
      <c r="D28" s="17">
        <v>66745.25</v>
      </c>
      <c r="E28" s="17">
        <v>0</v>
      </c>
      <c r="F28" s="17">
        <v>22260.49</v>
      </c>
      <c r="G28" s="17">
        <v>0</v>
      </c>
      <c r="H28" s="17">
        <f t="shared" si="0"/>
        <v>44484.759999999995</v>
      </c>
      <c r="I28" s="17">
        <v>44037.86</v>
      </c>
      <c r="J28" s="17">
        <f t="shared" si="1"/>
        <v>-446.89999999999418</v>
      </c>
      <c r="K28" s="23">
        <f t="shared" si="2"/>
        <v>-2.007592824776068E-2</v>
      </c>
      <c r="L28" s="17">
        <f>SUMIFS('Registros manuales'!$D$5:$D$104,'Registros manuales'!$A$5:$A$104,A28,'Registros manuales'!$B$5:$B$104,B28,'Registros manuales'!$C$5:$C$104,C28)</f>
        <v>0</v>
      </c>
    </row>
    <row r="29" spans="1:12" x14ac:dyDescent="0.3">
      <c r="A29" s="16" t="s">
        <v>21</v>
      </c>
      <c r="B29" s="16" t="s">
        <v>10</v>
      </c>
      <c r="C29" s="31">
        <v>46259</v>
      </c>
      <c r="D29" s="17">
        <v>44037.86</v>
      </c>
      <c r="E29" s="17">
        <v>0</v>
      </c>
      <c r="F29" s="17">
        <v>21826.83</v>
      </c>
      <c r="G29" s="17">
        <v>0</v>
      </c>
      <c r="H29" s="17">
        <f t="shared" si="0"/>
        <v>22211.03</v>
      </c>
      <c r="I29" s="17">
        <v>52343.3</v>
      </c>
      <c r="J29" s="17">
        <f t="shared" si="1"/>
        <v>30132.270000000004</v>
      </c>
      <c r="K29" s="23">
        <f t="shared" si="2"/>
        <v>1.380515173298184</v>
      </c>
      <c r="L29" s="17">
        <f>SUMIFS('Registros manuales'!$D$5:$D$104,'Registros manuales'!$A$5:$A$104,A29,'Registros manuales'!$B$5:$B$104,B29,'Registros manuales'!$C$5:$C$104,C29)</f>
        <v>0</v>
      </c>
    </row>
    <row r="30" spans="1:12" x14ac:dyDescent="0.3">
      <c r="A30" s="16" t="s">
        <v>21</v>
      </c>
      <c r="B30" s="16" t="s">
        <v>10</v>
      </c>
      <c r="C30" s="31">
        <v>46260</v>
      </c>
      <c r="D30" s="17">
        <v>52343.3</v>
      </c>
      <c r="E30" s="17">
        <v>66356</v>
      </c>
      <c r="F30" s="17">
        <v>21058.28</v>
      </c>
      <c r="G30" s="17">
        <v>0</v>
      </c>
      <c r="H30" s="17">
        <f t="shared" si="0"/>
        <v>97641.02</v>
      </c>
      <c r="I30" s="17">
        <v>67324.88</v>
      </c>
      <c r="J30" s="17">
        <f t="shared" si="1"/>
        <v>-30316.14</v>
      </c>
      <c r="K30" s="23">
        <f t="shared" si="2"/>
        <v>-1.4396303971644409</v>
      </c>
      <c r="L30" s="17">
        <f>SUMIFS('Registros manuales'!$D$5:$D$104,'Registros manuales'!$A$5:$A$104,A30,'Registros manuales'!$B$5:$B$104,B30,'Registros manuales'!$C$5:$C$104,C30)</f>
        <v>0</v>
      </c>
    </row>
    <row r="31" spans="1:12" x14ac:dyDescent="0.3">
      <c r="A31" s="16" t="s">
        <v>21</v>
      </c>
      <c r="B31" s="16" t="s">
        <v>10</v>
      </c>
      <c r="C31" s="31">
        <v>46261</v>
      </c>
      <c r="D31" s="17">
        <v>67324.88</v>
      </c>
      <c r="E31" s="17">
        <v>0</v>
      </c>
      <c r="F31" s="17">
        <v>20226.59</v>
      </c>
      <c r="G31" s="17">
        <v>0</v>
      </c>
      <c r="H31" s="17">
        <f t="shared" si="0"/>
        <v>47098.290000000008</v>
      </c>
      <c r="I31" s="17">
        <v>83091.12</v>
      </c>
      <c r="J31" s="17">
        <f t="shared" si="1"/>
        <v>35992.829999999987</v>
      </c>
      <c r="K31" s="23">
        <f t="shared" si="2"/>
        <v>1.7794808714667172</v>
      </c>
      <c r="L31" s="17">
        <f>SUMIFS('Registros manuales'!$D$5:$D$104,'Registros manuales'!$A$5:$A$104,A31,'Registros manuales'!$B$5:$B$104,B31,'Registros manuales'!$C$5:$C$104,C31)</f>
        <v>0</v>
      </c>
    </row>
    <row r="32" spans="1:12" x14ac:dyDescent="0.3">
      <c r="A32" s="16" t="s">
        <v>21</v>
      </c>
      <c r="B32" s="16" t="s">
        <v>10</v>
      </c>
      <c r="C32" s="31">
        <v>46262</v>
      </c>
      <c r="D32" s="17">
        <v>83091.12</v>
      </c>
      <c r="E32" s="17">
        <v>0</v>
      </c>
      <c r="F32" s="17">
        <v>21729.81</v>
      </c>
      <c r="G32" s="17">
        <v>0</v>
      </c>
      <c r="H32" s="17">
        <f t="shared" si="0"/>
        <v>61361.31</v>
      </c>
      <c r="I32" s="17">
        <v>60722.64</v>
      </c>
      <c r="J32" s="17">
        <f t="shared" si="1"/>
        <v>-638.66999999999825</v>
      </c>
      <c r="K32" s="23">
        <f t="shared" si="2"/>
        <v>-2.9391421277958629E-2</v>
      </c>
      <c r="L32" s="17">
        <f>SUMIFS('Registros manuales'!$D$5:$D$104,'Registros manuales'!$A$5:$A$104,A32,'Registros manuales'!$B$5:$B$104,B32,'Registros manuales'!$C$5:$C$104,C32)</f>
        <v>0</v>
      </c>
    </row>
    <row r="33" spans="1:12" x14ac:dyDescent="0.3">
      <c r="A33" s="16" t="s">
        <v>21</v>
      </c>
      <c r="B33" s="16" t="s">
        <v>10</v>
      </c>
      <c r="C33" s="31">
        <v>46263</v>
      </c>
      <c r="D33" s="17">
        <v>60722.64</v>
      </c>
      <c r="E33" s="17">
        <v>0</v>
      </c>
      <c r="F33" s="17">
        <v>23073.73</v>
      </c>
      <c r="G33" s="17">
        <v>0</v>
      </c>
      <c r="H33" s="17">
        <f t="shared" si="0"/>
        <v>37648.910000000003</v>
      </c>
      <c r="I33" s="17">
        <v>74098.990000000005</v>
      </c>
      <c r="J33" s="17">
        <f t="shared" si="1"/>
        <v>36450.080000000002</v>
      </c>
      <c r="K33" s="23">
        <f t="shared" si="2"/>
        <v>1.5797220475406448</v>
      </c>
      <c r="L33" s="17">
        <f>SUMIFS('Registros manuales'!$D$5:$D$104,'Registros manuales'!$A$5:$A$104,A33,'Registros manuales'!$B$5:$B$104,B33,'Registros manuales'!$C$5:$C$104,C33)</f>
        <v>0</v>
      </c>
    </row>
    <row r="34" spans="1:12" x14ac:dyDescent="0.3">
      <c r="A34" s="16" t="s">
        <v>21</v>
      </c>
      <c r="B34" s="16" t="s">
        <v>10</v>
      </c>
      <c r="C34" s="31">
        <v>46264</v>
      </c>
      <c r="D34" s="17">
        <v>74098.990000000005</v>
      </c>
      <c r="E34" s="17">
        <v>71778</v>
      </c>
      <c r="F34" s="17">
        <v>20982.9</v>
      </c>
      <c r="G34" s="17">
        <v>0</v>
      </c>
      <c r="H34" s="17">
        <f t="shared" si="0"/>
        <v>124894.09</v>
      </c>
      <c r="I34" s="17">
        <v>52637.97</v>
      </c>
      <c r="J34" s="17">
        <f t="shared" si="1"/>
        <v>-72256.12</v>
      </c>
      <c r="K34" s="23">
        <f t="shared" si="2"/>
        <v>-3.4435716702648342</v>
      </c>
      <c r="L34" s="17">
        <f>SUMIFS('Registros manuales'!$D$5:$D$104,'Registros manuales'!$A$5:$A$104,A34,'Registros manuales'!$B$5:$B$104,B34,'Registros manuales'!$C$5:$C$104,C34)</f>
        <v>0</v>
      </c>
    </row>
    <row r="35" spans="1:12" x14ac:dyDescent="0.3">
      <c r="A35" s="16" t="s">
        <v>21</v>
      </c>
      <c r="B35" s="16" t="s">
        <v>10</v>
      </c>
      <c r="C35" s="31">
        <v>46265</v>
      </c>
      <c r="D35" s="17">
        <v>52637.97</v>
      </c>
      <c r="E35" s="17">
        <v>0</v>
      </c>
      <c r="F35" s="17">
        <v>24104.63</v>
      </c>
      <c r="G35" s="17">
        <v>0</v>
      </c>
      <c r="H35" s="17">
        <f t="shared" si="0"/>
        <v>28533.34</v>
      </c>
      <c r="I35" s="17">
        <v>62089.03</v>
      </c>
      <c r="J35" s="17">
        <f t="shared" si="1"/>
        <v>33555.69</v>
      </c>
      <c r="K35" s="23">
        <f t="shared" si="2"/>
        <v>1.3920848401323729</v>
      </c>
      <c r="L35" s="17">
        <f>SUMIFS('Registros manuales'!$D$5:$D$104,'Registros manuales'!$A$5:$A$104,A35,'Registros manuales'!$B$5:$B$104,B35,'Registros manuales'!$C$5:$C$104,C35)</f>
        <v>0</v>
      </c>
    </row>
    <row r="36" spans="1:12" x14ac:dyDescent="0.3">
      <c r="A36" s="16" t="s">
        <v>21</v>
      </c>
      <c r="B36" s="16" t="s">
        <v>11</v>
      </c>
      <c r="C36" s="31">
        <v>46235</v>
      </c>
      <c r="D36" s="17">
        <v>13598.9</v>
      </c>
      <c r="E36" s="17">
        <v>0</v>
      </c>
      <c r="F36" s="17">
        <v>1915.71</v>
      </c>
      <c r="G36" s="17">
        <v>0</v>
      </c>
      <c r="H36" s="17">
        <f t="shared" si="0"/>
        <v>11683.189999999999</v>
      </c>
      <c r="I36" s="17">
        <v>11662.32</v>
      </c>
      <c r="J36" s="17">
        <f t="shared" si="1"/>
        <v>-20.869999999998981</v>
      </c>
      <c r="K36" s="23">
        <f t="shared" si="2"/>
        <v>-1.0894133245636857E-2</v>
      </c>
      <c r="L36" s="17">
        <f>SUMIFS('Registros manuales'!$D$5:$D$104,'Registros manuales'!$A$5:$A$104,A36,'Registros manuales'!$B$5:$B$104,B36,'Registros manuales'!$C$5:$C$104,C36)</f>
        <v>0</v>
      </c>
    </row>
    <row r="37" spans="1:12" x14ac:dyDescent="0.3">
      <c r="A37" s="16" t="s">
        <v>21</v>
      </c>
      <c r="B37" s="16" t="s">
        <v>11</v>
      </c>
      <c r="C37" s="31">
        <v>46236</v>
      </c>
      <c r="D37" s="17">
        <v>11662.32</v>
      </c>
      <c r="E37" s="17">
        <v>0</v>
      </c>
      <c r="F37" s="17">
        <v>2494.5</v>
      </c>
      <c r="G37" s="17">
        <v>0</v>
      </c>
      <c r="H37" s="17">
        <f t="shared" si="0"/>
        <v>9167.82</v>
      </c>
      <c r="I37" s="17">
        <v>9110.66</v>
      </c>
      <c r="J37" s="17">
        <f t="shared" si="1"/>
        <v>-57.159999999999854</v>
      </c>
      <c r="K37" s="23">
        <f t="shared" si="2"/>
        <v>-2.2914411705752598E-2</v>
      </c>
      <c r="L37" s="17">
        <f>SUMIFS('Registros manuales'!$D$5:$D$104,'Registros manuales'!$A$5:$A$104,A37,'Registros manuales'!$B$5:$B$104,B37,'Registros manuales'!$C$5:$C$104,C37)</f>
        <v>0</v>
      </c>
    </row>
    <row r="38" spans="1:12" x14ac:dyDescent="0.3">
      <c r="A38" s="16" t="s">
        <v>21</v>
      </c>
      <c r="B38" s="16" t="s">
        <v>11</v>
      </c>
      <c r="C38" s="31">
        <v>46237</v>
      </c>
      <c r="D38" s="17">
        <v>9110.66</v>
      </c>
      <c r="E38" s="17">
        <v>0</v>
      </c>
      <c r="F38" s="17">
        <v>2116.3000000000002</v>
      </c>
      <c r="G38" s="17">
        <v>0</v>
      </c>
      <c r="H38" s="17">
        <f t="shared" si="0"/>
        <v>6994.36</v>
      </c>
      <c r="I38" s="17">
        <v>6950.23</v>
      </c>
      <c r="J38" s="17">
        <f t="shared" si="1"/>
        <v>-44.130000000000109</v>
      </c>
      <c r="K38" s="23">
        <f t="shared" si="2"/>
        <v>-2.0852431129802063E-2</v>
      </c>
      <c r="L38" s="17">
        <f>SUMIFS('Registros manuales'!$D$5:$D$104,'Registros manuales'!$A$5:$A$104,A38,'Registros manuales'!$B$5:$B$104,B38,'Registros manuales'!$C$5:$C$104,C38)</f>
        <v>0</v>
      </c>
    </row>
    <row r="39" spans="1:12" x14ac:dyDescent="0.3">
      <c r="A39" s="16" t="s">
        <v>21</v>
      </c>
      <c r="B39" s="16" t="s">
        <v>11</v>
      </c>
      <c r="C39" s="31">
        <v>46238</v>
      </c>
      <c r="D39" s="17">
        <v>6950.23</v>
      </c>
      <c r="E39" s="17">
        <v>0</v>
      </c>
      <c r="F39" s="17">
        <v>1650.84</v>
      </c>
      <c r="G39" s="17">
        <v>0</v>
      </c>
      <c r="H39" s="17">
        <f t="shared" si="0"/>
        <v>5299.3899999999994</v>
      </c>
      <c r="I39" s="17">
        <v>5271.34</v>
      </c>
      <c r="J39" s="17">
        <f t="shared" si="1"/>
        <v>-28.049999999999272</v>
      </c>
      <c r="K39" s="23">
        <f t="shared" si="2"/>
        <v>-1.699134985825354E-2</v>
      </c>
      <c r="L39" s="17">
        <f>SUMIFS('Registros manuales'!$D$5:$D$104,'Registros manuales'!$A$5:$A$104,A39,'Registros manuales'!$B$5:$B$104,B39,'Registros manuales'!$C$5:$C$104,C39)</f>
        <v>0</v>
      </c>
    </row>
    <row r="40" spans="1:12" x14ac:dyDescent="0.3">
      <c r="A40" s="16" t="s">
        <v>21</v>
      </c>
      <c r="B40" s="16" t="s">
        <v>11</v>
      </c>
      <c r="C40" s="31">
        <v>46239</v>
      </c>
      <c r="D40" s="17">
        <v>5271.34</v>
      </c>
      <c r="E40" s="17">
        <v>0</v>
      </c>
      <c r="F40" s="17">
        <v>1866.81</v>
      </c>
      <c r="G40" s="17">
        <v>0</v>
      </c>
      <c r="H40" s="17">
        <f t="shared" si="0"/>
        <v>3404.53</v>
      </c>
      <c r="I40" s="17">
        <v>3385.15</v>
      </c>
      <c r="J40" s="17">
        <f t="shared" si="1"/>
        <v>-19.380000000000109</v>
      </c>
      <c r="K40" s="23">
        <f t="shared" si="2"/>
        <v>-1.0381345718096706E-2</v>
      </c>
      <c r="L40" s="17">
        <f>SUMIFS('Registros manuales'!$D$5:$D$104,'Registros manuales'!$A$5:$A$104,A40,'Registros manuales'!$B$5:$B$104,B40,'Registros manuales'!$C$5:$C$104,C40)</f>
        <v>0</v>
      </c>
    </row>
    <row r="41" spans="1:12" x14ac:dyDescent="0.3">
      <c r="A41" s="16" t="s">
        <v>21</v>
      </c>
      <c r="B41" s="16" t="s">
        <v>11</v>
      </c>
      <c r="C41" s="31">
        <v>46240</v>
      </c>
      <c r="D41" s="17">
        <v>3385.15</v>
      </c>
      <c r="E41" s="17">
        <v>0</v>
      </c>
      <c r="F41" s="17">
        <v>1687.91</v>
      </c>
      <c r="G41" s="17">
        <v>0</v>
      </c>
      <c r="H41" s="17">
        <f t="shared" si="0"/>
        <v>1697.24</v>
      </c>
      <c r="I41" s="17">
        <v>37923.33</v>
      </c>
      <c r="J41" s="17">
        <f t="shared" si="1"/>
        <v>36226.090000000004</v>
      </c>
      <c r="K41" s="23">
        <f t="shared" si="2"/>
        <v>21.462098097647388</v>
      </c>
      <c r="L41" s="17">
        <f>SUMIFS('Registros manuales'!$D$5:$D$104,'Registros manuales'!$A$5:$A$104,A41,'Registros manuales'!$B$5:$B$104,B41,'Registros manuales'!$C$5:$C$104,C41)</f>
        <v>0</v>
      </c>
    </row>
    <row r="42" spans="1:12" x14ac:dyDescent="0.3">
      <c r="A42" s="16" t="s">
        <v>21</v>
      </c>
      <c r="B42" s="16" t="s">
        <v>11</v>
      </c>
      <c r="C42" s="31">
        <v>46241</v>
      </c>
      <c r="D42" s="17">
        <v>37923.33</v>
      </c>
      <c r="E42" s="17">
        <v>0</v>
      </c>
      <c r="F42" s="17">
        <v>2136.7800000000002</v>
      </c>
      <c r="G42" s="17">
        <v>0</v>
      </c>
      <c r="H42" s="17">
        <f t="shared" si="0"/>
        <v>35786.550000000003</v>
      </c>
      <c r="I42" s="17">
        <v>35777.14</v>
      </c>
      <c r="J42" s="17">
        <f t="shared" si="1"/>
        <v>-9.4100000000034925</v>
      </c>
      <c r="K42" s="23">
        <f t="shared" si="2"/>
        <v>-4.4038225741552667E-3</v>
      </c>
      <c r="L42" s="17">
        <f>SUMIFS('Registros manuales'!$D$5:$D$104,'Registros manuales'!$A$5:$A$104,A42,'Registros manuales'!$B$5:$B$104,B42,'Registros manuales'!$C$5:$C$104,C42)</f>
        <v>0</v>
      </c>
    </row>
    <row r="43" spans="1:12" x14ac:dyDescent="0.3">
      <c r="A43" s="16" t="s">
        <v>21</v>
      </c>
      <c r="B43" s="16" t="s">
        <v>11</v>
      </c>
      <c r="C43" s="31">
        <v>46242</v>
      </c>
      <c r="D43" s="17">
        <v>35777.14</v>
      </c>
      <c r="E43" s="17">
        <v>0</v>
      </c>
      <c r="F43" s="17">
        <v>2221.39</v>
      </c>
      <c r="G43" s="17">
        <v>0</v>
      </c>
      <c r="H43" s="17">
        <f t="shared" si="0"/>
        <v>33555.75</v>
      </c>
      <c r="I43" s="17">
        <v>33536.04</v>
      </c>
      <c r="J43" s="17">
        <f t="shared" si="1"/>
        <v>-19.709999999999127</v>
      </c>
      <c r="K43" s="23">
        <f t="shared" si="2"/>
        <v>-8.8728228721652331E-3</v>
      </c>
      <c r="L43" s="17">
        <f>SUMIFS('Registros manuales'!$D$5:$D$104,'Registros manuales'!$A$5:$A$104,A43,'Registros manuales'!$B$5:$B$104,B43,'Registros manuales'!$C$5:$C$104,C43)</f>
        <v>0</v>
      </c>
    </row>
    <row r="44" spans="1:12" x14ac:dyDescent="0.3">
      <c r="A44" s="16" t="s">
        <v>21</v>
      </c>
      <c r="B44" s="16" t="s">
        <v>11</v>
      </c>
      <c r="C44" s="31">
        <v>46243</v>
      </c>
      <c r="D44" s="17">
        <v>33536.04</v>
      </c>
      <c r="E44" s="17">
        <v>35986</v>
      </c>
      <c r="F44" s="17">
        <v>2030.05</v>
      </c>
      <c r="G44" s="17">
        <v>0</v>
      </c>
      <c r="H44" s="17">
        <f t="shared" si="0"/>
        <v>67491.990000000005</v>
      </c>
      <c r="I44" s="17">
        <v>31481.38</v>
      </c>
      <c r="J44" s="17">
        <f t="shared" si="1"/>
        <v>-36010.61</v>
      </c>
      <c r="K44" s="23">
        <f t="shared" si="2"/>
        <v>-17.73877983300904</v>
      </c>
      <c r="L44" s="17">
        <f>SUMIFS('Registros manuales'!$D$5:$D$104,'Registros manuales'!$A$5:$A$104,A44,'Registros manuales'!$B$5:$B$104,B44,'Registros manuales'!$C$5:$C$104,C44)</f>
        <v>0</v>
      </c>
    </row>
    <row r="45" spans="1:12" x14ac:dyDescent="0.3">
      <c r="A45" s="16" t="s">
        <v>21</v>
      </c>
      <c r="B45" s="16" t="s">
        <v>11</v>
      </c>
      <c r="C45" s="31">
        <v>46244</v>
      </c>
      <c r="D45" s="17">
        <v>31481.38</v>
      </c>
      <c r="E45" s="17">
        <v>0</v>
      </c>
      <c r="F45" s="17">
        <v>1653.06</v>
      </c>
      <c r="G45" s="17">
        <v>0</v>
      </c>
      <c r="H45" s="17">
        <f t="shared" si="0"/>
        <v>29828.32</v>
      </c>
      <c r="I45" s="17">
        <v>29856.79</v>
      </c>
      <c r="J45" s="17">
        <f t="shared" si="1"/>
        <v>28.470000000001164</v>
      </c>
      <c r="K45" s="23">
        <f t="shared" si="2"/>
        <v>1.7222605350078742E-2</v>
      </c>
      <c r="L45" s="17">
        <f>SUMIFS('Registros manuales'!$D$5:$D$104,'Registros manuales'!$A$5:$A$104,A45,'Registros manuales'!$B$5:$B$104,B45,'Registros manuales'!$C$5:$C$104,C45)</f>
        <v>0</v>
      </c>
    </row>
    <row r="46" spans="1:12" x14ac:dyDescent="0.3">
      <c r="A46" s="16" t="s">
        <v>21</v>
      </c>
      <c r="B46" s="16" t="s">
        <v>11</v>
      </c>
      <c r="C46" s="31">
        <v>46245</v>
      </c>
      <c r="D46" s="17">
        <v>29856.79</v>
      </c>
      <c r="E46" s="17">
        <v>0</v>
      </c>
      <c r="F46" s="17">
        <v>2028.26</v>
      </c>
      <c r="G46" s="17">
        <v>0</v>
      </c>
      <c r="H46" s="17">
        <f t="shared" si="0"/>
        <v>27828.530000000002</v>
      </c>
      <c r="I46" s="17">
        <v>27760.02</v>
      </c>
      <c r="J46" s="17">
        <f t="shared" si="1"/>
        <v>-68.510000000002037</v>
      </c>
      <c r="K46" s="23">
        <f t="shared" si="2"/>
        <v>-3.3777720805026001E-2</v>
      </c>
      <c r="L46" s="17">
        <f>SUMIFS('Registros manuales'!$D$5:$D$104,'Registros manuales'!$A$5:$A$104,A46,'Registros manuales'!$B$5:$B$104,B46,'Registros manuales'!$C$5:$C$104,C46)</f>
        <v>0</v>
      </c>
    </row>
    <row r="47" spans="1:12" x14ac:dyDescent="0.3">
      <c r="A47" s="16" t="s">
        <v>21</v>
      </c>
      <c r="B47" s="16" t="s">
        <v>11</v>
      </c>
      <c r="C47" s="31">
        <v>46246</v>
      </c>
      <c r="D47" s="17">
        <v>27760.02</v>
      </c>
      <c r="E47" s="17">
        <v>0</v>
      </c>
      <c r="F47" s="17">
        <v>1864.8</v>
      </c>
      <c r="G47" s="17">
        <v>0</v>
      </c>
      <c r="H47" s="17">
        <f t="shared" si="0"/>
        <v>25895.22</v>
      </c>
      <c r="I47" s="17">
        <v>25859.99</v>
      </c>
      <c r="J47" s="17">
        <f t="shared" si="1"/>
        <v>-35.229999999999563</v>
      </c>
      <c r="K47" s="23">
        <f t="shared" si="2"/>
        <v>-1.8892106392106159E-2</v>
      </c>
      <c r="L47" s="17">
        <f>SUMIFS('Registros manuales'!$D$5:$D$104,'Registros manuales'!$A$5:$A$104,A47,'Registros manuales'!$B$5:$B$104,B47,'Registros manuales'!$C$5:$C$104,C47)</f>
        <v>0</v>
      </c>
    </row>
    <row r="48" spans="1:12" x14ac:dyDescent="0.3">
      <c r="A48" s="16" t="s">
        <v>21</v>
      </c>
      <c r="B48" s="16" t="s">
        <v>11</v>
      </c>
      <c r="C48" s="31">
        <v>46247</v>
      </c>
      <c r="D48" s="17">
        <v>25859.99</v>
      </c>
      <c r="E48" s="17">
        <v>0</v>
      </c>
      <c r="F48" s="17">
        <v>1889.11</v>
      </c>
      <c r="G48" s="17">
        <v>0</v>
      </c>
      <c r="H48" s="17">
        <f t="shared" si="0"/>
        <v>23970.880000000001</v>
      </c>
      <c r="I48" s="17">
        <v>23970.76</v>
      </c>
      <c r="J48" s="17">
        <f t="shared" si="1"/>
        <v>-0.12000000000261934</v>
      </c>
      <c r="K48" s="23">
        <f t="shared" si="2"/>
        <v>-6.3521975958318654E-5</v>
      </c>
      <c r="L48" s="17">
        <f>SUMIFS('Registros manuales'!$D$5:$D$104,'Registros manuales'!$A$5:$A$104,A48,'Registros manuales'!$B$5:$B$104,B48,'Registros manuales'!$C$5:$C$104,C48)</f>
        <v>0</v>
      </c>
    </row>
    <row r="49" spans="1:12" x14ac:dyDescent="0.3">
      <c r="A49" s="16" t="s">
        <v>21</v>
      </c>
      <c r="B49" s="16" t="s">
        <v>11</v>
      </c>
      <c r="C49" s="31">
        <v>46248</v>
      </c>
      <c r="D49" s="17">
        <v>23970.76</v>
      </c>
      <c r="E49" s="17">
        <v>0</v>
      </c>
      <c r="F49" s="17">
        <v>2323.92</v>
      </c>
      <c r="G49" s="17">
        <v>0</v>
      </c>
      <c r="H49" s="17">
        <f t="shared" si="0"/>
        <v>21646.839999999997</v>
      </c>
      <c r="I49" s="17">
        <v>21553.97</v>
      </c>
      <c r="J49" s="17">
        <f t="shared" si="1"/>
        <v>-92.869999999995343</v>
      </c>
      <c r="K49" s="23">
        <f t="shared" si="2"/>
        <v>-3.9962649316669825E-2</v>
      </c>
      <c r="L49" s="17">
        <f>SUMIFS('Registros manuales'!$D$5:$D$104,'Registros manuales'!$A$5:$A$104,A49,'Registros manuales'!$B$5:$B$104,B49,'Registros manuales'!$C$5:$C$104,C49)</f>
        <v>0</v>
      </c>
    </row>
    <row r="50" spans="1:12" x14ac:dyDescent="0.3">
      <c r="A50" s="16" t="s">
        <v>21</v>
      </c>
      <c r="B50" s="16" t="s">
        <v>11</v>
      </c>
      <c r="C50" s="31">
        <v>46249</v>
      </c>
      <c r="D50" s="17">
        <v>21553.97</v>
      </c>
      <c r="E50" s="17">
        <v>0</v>
      </c>
      <c r="F50" s="17">
        <v>1859.71</v>
      </c>
      <c r="G50" s="17">
        <v>0</v>
      </c>
      <c r="H50" s="17">
        <f t="shared" si="0"/>
        <v>19694.260000000002</v>
      </c>
      <c r="I50" s="17">
        <v>19636.41</v>
      </c>
      <c r="J50" s="17">
        <f t="shared" si="1"/>
        <v>-57.850000000002183</v>
      </c>
      <c r="K50" s="23">
        <f t="shared" si="2"/>
        <v>-3.1107000553850968E-2</v>
      </c>
      <c r="L50" s="17">
        <f>SUMIFS('Registros manuales'!$D$5:$D$104,'Registros manuales'!$A$5:$A$104,A50,'Registros manuales'!$B$5:$B$104,B50,'Registros manuales'!$C$5:$C$104,C50)</f>
        <v>0</v>
      </c>
    </row>
    <row r="51" spans="1:12" x14ac:dyDescent="0.3">
      <c r="A51" s="16" t="s">
        <v>21</v>
      </c>
      <c r="B51" s="16" t="s">
        <v>11</v>
      </c>
      <c r="C51" s="31">
        <v>46250</v>
      </c>
      <c r="D51" s="17">
        <v>19636.41</v>
      </c>
      <c r="E51" s="17">
        <v>0</v>
      </c>
      <c r="F51" s="17">
        <v>2283.88</v>
      </c>
      <c r="G51" s="17">
        <v>0</v>
      </c>
      <c r="H51" s="17">
        <f t="shared" si="0"/>
        <v>17352.53</v>
      </c>
      <c r="I51" s="17">
        <v>17301.87</v>
      </c>
      <c r="J51" s="17">
        <f t="shared" si="1"/>
        <v>-50.659999999999854</v>
      </c>
      <c r="K51" s="23">
        <f t="shared" si="2"/>
        <v>-2.2181550694432218E-2</v>
      </c>
      <c r="L51" s="17">
        <f>SUMIFS('Registros manuales'!$D$5:$D$104,'Registros manuales'!$A$5:$A$104,A51,'Registros manuales'!$B$5:$B$104,B51,'Registros manuales'!$C$5:$C$104,C51)</f>
        <v>0</v>
      </c>
    </row>
    <row r="52" spans="1:12" x14ac:dyDescent="0.3">
      <c r="A52" s="16" t="s">
        <v>21</v>
      </c>
      <c r="B52" s="16" t="s">
        <v>11</v>
      </c>
      <c r="C52" s="31">
        <v>46251</v>
      </c>
      <c r="D52" s="17">
        <v>17301.87</v>
      </c>
      <c r="E52" s="17">
        <v>0</v>
      </c>
      <c r="F52" s="17">
        <v>1997.51</v>
      </c>
      <c r="G52" s="17">
        <v>0</v>
      </c>
      <c r="H52" s="17">
        <f t="shared" si="0"/>
        <v>15304.359999999999</v>
      </c>
      <c r="I52" s="17">
        <v>15281.24</v>
      </c>
      <c r="J52" s="17">
        <f t="shared" si="1"/>
        <v>-23.119999999998981</v>
      </c>
      <c r="K52" s="23">
        <f t="shared" si="2"/>
        <v>-1.1574410140624568E-2</v>
      </c>
      <c r="L52" s="17">
        <f>SUMIFS('Registros manuales'!$D$5:$D$104,'Registros manuales'!$A$5:$A$104,A52,'Registros manuales'!$B$5:$B$104,B52,'Registros manuales'!$C$5:$C$104,C52)</f>
        <v>0</v>
      </c>
    </row>
    <row r="53" spans="1:12" x14ac:dyDescent="0.3">
      <c r="A53" s="16" t="s">
        <v>21</v>
      </c>
      <c r="B53" s="16" t="s">
        <v>11</v>
      </c>
      <c r="C53" s="31">
        <v>46252</v>
      </c>
      <c r="D53" s="17">
        <v>15281.24</v>
      </c>
      <c r="E53" s="17">
        <v>0</v>
      </c>
      <c r="F53" s="17">
        <v>1907.63</v>
      </c>
      <c r="G53" s="17">
        <v>0</v>
      </c>
      <c r="H53" s="17">
        <f t="shared" si="0"/>
        <v>13373.61</v>
      </c>
      <c r="I53" s="17">
        <v>13325.64</v>
      </c>
      <c r="J53" s="17">
        <f t="shared" si="1"/>
        <v>-47.970000000001164</v>
      </c>
      <c r="K53" s="23">
        <f t="shared" si="2"/>
        <v>-2.5146385829537782E-2</v>
      </c>
      <c r="L53" s="17">
        <f>SUMIFS('Registros manuales'!$D$5:$D$104,'Registros manuales'!$A$5:$A$104,A53,'Registros manuales'!$B$5:$B$104,B53,'Registros manuales'!$C$5:$C$104,C53)</f>
        <v>0</v>
      </c>
    </row>
    <row r="54" spans="1:12" x14ac:dyDescent="0.3">
      <c r="A54" s="16" t="s">
        <v>21</v>
      </c>
      <c r="B54" s="16" t="s">
        <v>11</v>
      </c>
      <c r="C54" s="31">
        <v>46253</v>
      </c>
      <c r="D54" s="17">
        <v>13325.64</v>
      </c>
      <c r="E54" s="17">
        <v>0</v>
      </c>
      <c r="F54" s="17">
        <v>1631.34</v>
      </c>
      <c r="G54" s="17">
        <v>0</v>
      </c>
      <c r="H54" s="17">
        <f t="shared" si="0"/>
        <v>11694.3</v>
      </c>
      <c r="I54" s="17">
        <v>11655.25</v>
      </c>
      <c r="J54" s="17">
        <f t="shared" si="1"/>
        <v>-39.049999999999272</v>
      </c>
      <c r="K54" s="23">
        <f t="shared" si="2"/>
        <v>-2.3937376635158381E-2</v>
      </c>
      <c r="L54" s="17">
        <f>SUMIFS('Registros manuales'!$D$5:$D$104,'Registros manuales'!$A$5:$A$104,A54,'Registros manuales'!$B$5:$B$104,B54,'Registros manuales'!$C$5:$C$104,C54)</f>
        <v>0</v>
      </c>
    </row>
    <row r="55" spans="1:12" x14ac:dyDescent="0.3">
      <c r="A55" s="16" t="s">
        <v>21</v>
      </c>
      <c r="B55" s="16" t="s">
        <v>11</v>
      </c>
      <c r="C55" s="31">
        <v>46254</v>
      </c>
      <c r="D55" s="17">
        <v>11655.25</v>
      </c>
      <c r="E55" s="17">
        <v>0</v>
      </c>
      <c r="F55" s="17">
        <v>1992.85</v>
      </c>
      <c r="G55" s="17">
        <v>0</v>
      </c>
      <c r="H55" s="17">
        <f t="shared" si="0"/>
        <v>9662.4</v>
      </c>
      <c r="I55" s="17">
        <v>9614.17</v>
      </c>
      <c r="J55" s="17">
        <f t="shared" si="1"/>
        <v>-48.229999999999563</v>
      </c>
      <c r="K55" s="23">
        <f t="shared" si="2"/>
        <v>-2.42015204355569E-2</v>
      </c>
      <c r="L55" s="17">
        <f>SUMIFS('Registros manuales'!$D$5:$D$104,'Registros manuales'!$A$5:$A$104,A55,'Registros manuales'!$B$5:$B$104,B55,'Registros manuales'!$C$5:$C$104,C55)</f>
        <v>0</v>
      </c>
    </row>
    <row r="56" spans="1:12" x14ac:dyDescent="0.3">
      <c r="A56" s="16" t="s">
        <v>21</v>
      </c>
      <c r="B56" s="16" t="s">
        <v>11</v>
      </c>
      <c r="C56" s="31">
        <v>46255</v>
      </c>
      <c r="D56" s="17">
        <v>9614.17</v>
      </c>
      <c r="E56" s="17">
        <v>0</v>
      </c>
      <c r="F56" s="17">
        <v>1968.44</v>
      </c>
      <c r="G56" s="17">
        <v>0</v>
      </c>
      <c r="H56" s="17">
        <f t="shared" si="0"/>
        <v>7645.73</v>
      </c>
      <c r="I56" s="17">
        <v>7611.37</v>
      </c>
      <c r="J56" s="17">
        <f t="shared" si="1"/>
        <v>-34.359999999999673</v>
      </c>
      <c r="K56" s="23">
        <f t="shared" si="2"/>
        <v>-1.7455446952916863E-2</v>
      </c>
      <c r="L56" s="17">
        <f>SUMIFS('Registros manuales'!$D$5:$D$104,'Registros manuales'!$A$5:$A$104,A56,'Registros manuales'!$B$5:$B$104,B56,'Registros manuales'!$C$5:$C$104,C56)</f>
        <v>0</v>
      </c>
    </row>
    <row r="57" spans="1:12" x14ac:dyDescent="0.3">
      <c r="A57" s="16" t="s">
        <v>21</v>
      </c>
      <c r="B57" s="16" t="s">
        <v>11</v>
      </c>
      <c r="C57" s="31">
        <v>46256</v>
      </c>
      <c r="D57" s="17">
        <v>7611.37</v>
      </c>
      <c r="E57" s="17">
        <v>0</v>
      </c>
      <c r="F57" s="17">
        <v>2209.19</v>
      </c>
      <c r="G57" s="17">
        <v>0</v>
      </c>
      <c r="H57" s="17">
        <f t="shared" si="0"/>
        <v>5402.18</v>
      </c>
      <c r="I57" s="17">
        <v>5362.3</v>
      </c>
      <c r="J57" s="17">
        <f t="shared" si="1"/>
        <v>-39.880000000000109</v>
      </c>
      <c r="K57" s="23">
        <f t="shared" si="2"/>
        <v>-1.8051865163249928E-2</v>
      </c>
      <c r="L57" s="17">
        <f>SUMIFS('Registros manuales'!$D$5:$D$104,'Registros manuales'!$A$5:$A$104,A57,'Registros manuales'!$B$5:$B$104,B57,'Registros manuales'!$C$5:$C$104,C57)</f>
        <v>0</v>
      </c>
    </row>
    <row r="58" spans="1:12" x14ac:dyDescent="0.3">
      <c r="A58" s="16" t="s">
        <v>21</v>
      </c>
      <c r="B58" s="16" t="s">
        <v>11</v>
      </c>
      <c r="C58" s="31">
        <v>46257</v>
      </c>
      <c r="D58" s="17">
        <v>5362.3</v>
      </c>
      <c r="E58" s="17">
        <v>0</v>
      </c>
      <c r="F58" s="17">
        <v>2276.6999999999998</v>
      </c>
      <c r="G58" s="17">
        <v>0</v>
      </c>
      <c r="H58" s="17">
        <f t="shared" si="0"/>
        <v>3085.6000000000004</v>
      </c>
      <c r="I58" s="17">
        <v>3059.73</v>
      </c>
      <c r="J58" s="17">
        <f t="shared" si="1"/>
        <v>-25.870000000000346</v>
      </c>
      <c r="K58" s="23">
        <f t="shared" si="2"/>
        <v>-1.1362937585101396E-2</v>
      </c>
      <c r="L58" s="17">
        <f>SUMIFS('Registros manuales'!$D$5:$D$104,'Registros manuales'!$A$5:$A$104,A58,'Registros manuales'!$B$5:$B$104,B58,'Registros manuales'!$C$5:$C$104,C58)</f>
        <v>0</v>
      </c>
    </row>
    <row r="59" spans="1:12" x14ac:dyDescent="0.3">
      <c r="A59" s="16" t="s">
        <v>21</v>
      </c>
      <c r="B59" s="16" t="s">
        <v>11</v>
      </c>
      <c r="C59" s="31">
        <v>46258</v>
      </c>
      <c r="D59" s="17">
        <v>3059.73</v>
      </c>
      <c r="E59" s="17">
        <v>0</v>
      </c>
      <c r="F59" s="17">
        <v>1787.03</v>
      </c>
      <c r="G59" s="17">
        <v>0</v>
      </c>
      <c r="H59" s="17">
        <f t="shared" si="0"/>
        <v>1272.7</v>
      </c>
      <c r="I59" s="17">
        <v>1281.94</v>
      </c>
      <c r="J59" s="17">
        <f t="shared" si="1"/>
        <v>9.2400000000000091</v>
      </c>
      <c r="K59" s="23">
        <f t="shared" si="2"/>
        <v>5.1705903090602896E-3</v>
      </c>
      <c r="L59" s="17">
        <f>SUMIFS('Registros manuales'!$D$5:$D$104,'Registros manuales'!$A$5:$A$104,A59,'Registros manuales'!$B$5:$B$104,B59,'Registros manuales'!$C$5:$C$104,C59)</f>
        <v>0</v>
      </c>
    </row>
    <row r="60" spans="1:12" x14ac:dyDescent="0.3">
      <c r="A60" s="16" t="s">
        <v>21</v>
      </c>
      <c r="B60" s="16" t="s">
        <v>11</v>
      </c>
      <c r="C60" s="31">
        <v>46259</v>
      </c>
      <c r="D60" s="17">
        <v>1281.94</v>
      </c>
      <c r="E60" s="17">
        <v>0</v>
      </c>
      <c r="F60" s="17">
        <v>1314.18</v>
      </c>
      <c r="G60" s="17">
        <v>0</v>
      </c>
      <c r="H60" s="17">
        <f t="shared" si="0"/>
        <v>-32.240000000000009</v>
      </c>
      <c r="I60" s="17">
        <v>36264</v>
      </c>
      <c r="J60" s="17">
        <f t="shared" si="1"/>
        <v>36296.239999999998</v>
      </c>
      <c r="K60" s="23">
        <f t="shared" si="2"/>
        <v>27.618925870124333</v>
      </c>
      <c r="L60" s="17">
        <f>SUMIFS('Registros manuales'!$D$5:$D$104,'Registros manuales'!$A$5:$A$104,A60,'Registros manuales'!$B$5:$B$104,B60,'Registros manuales'!$C$5:$C$104,C60)</f>
        <v>0</v>
      </c>
    </row>
    <row r="61" spans="1:12" x14ac:dyDescent="0.3">
      <c r="A61" s="16" t="s">
        <v>21</v>
      </c>
      <c r="B61" s="16" t="s">
        <v>11</v>
      </c>
      <c r="C61" s="31">
        <v>46260</v>
      </c>
      <c r="D61" s="17">
        <v>36264</v>
      </c>
      <c r="E61" s="17">
        <v>36063</v>
      </c>
      <c r="F61" s="17">
        <v>1828.78</v>
      </c>
      <c r="G61" s="17">
        <v>0</v>
      </c>
      <c r="H61" s="17">
        <f t="shared" si="0"/>
        <v>70498.22</v>
      </c>
      <c r="I61" s="17">
        <v>34411.46</v>
      </c>
      <c r="J61" s="17">
        <f t="shared" si="1"/>
        <v>-36086.76</v>
      </c>
      <c r="K61" s="23">
        <f t="shared" si="2"/>
        <v>-19.732696114349459</v>
      </c>
      <c r="L61" s="17">
        <f>SUMIFS('Registros manuales'!$D$5:$D$104,'Registros manuales'!$A$5:$A$104,A61,'Registros manuales'!$B$5:$B$104,B61,'Registros manuales'!$C$5:$C$104,C61)</f>
        <v>0</v>
      </c>
    </row>
    <row r="62" spans="1:12" x14ac:dyDescent="0.3">
      <c r="A62" s="16" t="s">
        <v>21</v>
      </c>
      <c r="B62" s="16" t="s">
        <v>11</v>
      </c>
      <c r="C62" s="31">
        <v>46261</v>
      </c>
      <c r="D62" s="17">
        <v>34411.46</v>
      </c>
      <c r="E62" s="17">
        <v>0</v>
      </c>
      <c r="F62" s="17">
        <v>1660.66</v>
      </c>
      <c r="G62" s="17">
        <v>0</v>
      </c>
      <c r="H62" s="17">
        <f t="shared" si="0"/>
        <v>32750.799999999999</v>
      </c>
      <c r="I62" s="17">
        <v>32732.17</v>
      </c>
      <c r="J62" s="17">
        <f t="shared" si="1"/>
        <v>-18.630000000001019</v>
      </c>
      <c r="K62" s="23">
        <f t="shared" si="2"/>
        <v>-1.1218431226139618E-2</v>
      </c>
      <c r="L62" s="17">
        <f>SUMIFS('Registros manuales'!$D$5:$D$104,'Registros manuales'!$A$5:$A$104,A62,'Registros manuales'!$B$5:$B$104,B62,'Registros manuales'!$C$5:$C$104,C62)</f>
        <v>0</v>
      </c>
    </row>
    <row r="63" spans="1:12" x14ac:dyDescent="0.3">
      <c r="A63" s="16" t="s">
        <v>21</v>
      </c>
      <c r="B63" s="16" t="s">
        <v>11</v>
      </c>
      <c r="C63" s="31">
        <v>46262</v>
      </c>
      <c r="D63" s="17">
        <v>32732.17</v>
      </c>
      <c r="E63" s="17">
        <v>0</v>
      </c>
      <c r="F63" s="17">
        <v>2134.81</v>
      </c>
      <c r="G63" s="17">
        <v>0</v>
      </c>
      <c r="H63" s="17">
        <f t="shared" si="0"/>
        <v>30597.359999999997</v>
      </c>
      <c r="I63" s="17">
        <v>30649.46</v>
      </c>
      <c r="J63" s="17">
        <f t="shared" si="1"/>
        <v>52.100000000002183</v>
      </c>
      <c r="K63" s="23">
        <f t="shared" si="2"/>
        <v>2.4404982176400795E-2</v>
      </c>
      <c r="L63" s="17">
        <f>SUMIFS('Registros manuales'!$D$5:$D$104,'Registros manuales'!$A$5:$A$104,A63,'Registros manuales'!$B$5:$B$104,B63,'Registros manuales'!$C$5:$C$104,C63)</f>
        <v>0</v>
      </c>
    </row>
    <row r="64" spans="1:12" x14ac:dyDescent="0.3">
      <c r="A64" s="16" t="s">
        <v>21</v>
      </c>
      <c r="B64" s="16" t="s">
        <v>11</v>
      </c>
      <c r="C64" s="31">
        <v>46263</v>
      </c>
      <c r="D64" s="17">
        <v>30649.46</v>
      </c>
      <c r="E64" s="17">
        <v>0</v>
      </c>
      <c r="F64" s="17">
        <v>2385.56</v>
      </c>
      <c r="G64" s="17">
        <v>0</v>
      </c>
      <c r="H64" s="17">
        <f t="shared" si="0"/>
        <v>28263.899999999998</v>
      </c>
      <c r="I64" s="17">
        <v>28206.39</v>
      </c>
      <c r="J64" s="17">
        <f t="shared" si="1"/>
        <v>-57.509999999998399</v>
      </c>
      <c r="K64" s="23">
        <f t="shared" si="2"/>
        <v>-2.4107547074899982E-2</v>
      </c>
      <c r="L64" s="17">
        <f>SUMIFS('Registros manuales'!$D$5:$D$104,'Registros manuales'!$A$5:$A$104,A64,'Registros manuales'!$B$5:$B$104,B64,'Registros manuales'!$C$5:$C$104,C64)</f>
        <v>0</v>
      </c>
    </row>
    <row r="65" spans="1:12" x14ac:dyDescent="0.3">
      <c r="A65" s="16" t="s">
        <v>21</v>
      </c>
      <c r="B65" s="16" t="s">
        <v>11</v>
      </c>
      <c r="C65" s="31">
        <v>46264</v>
      </c>
      <c r="D65" s="17">
        <v>28206.39</v>
      </c>
      <c r="E65" s="17">
        <v>0</v>
      </c>
      <c r="F65" s="17">
        <v>1919.73</v>
      </c>
      <c r="G65" s="17">
        <v>0</v>
      </c>
      <c r="H65" s="17">
        <f t="shared" si="0"/>
        <v>26286.66</v>
      </c>
      <c r="I65" s="17">
        <v>26251.49</v>
      </c>
      <c r="J65" s="17">
        <f t="shared" si="1"/>
        <v>-35.169999999998254</v>
      </c>
      <c r="K65" s="23">
        <f t="shared" si="2"/>
        <v>-1.8320284623357583E-2</v>
      </c>
      <c r="L65" s="17">
        <f>SUMIFS('Registros manuales'!$D$5:$D$104,'Registros manuales'!$A$5:$A$104,A65,'Registros manuales'!$B$5:$B$104,B65,'Registros manuales'!$C$5:$C$104,C65)</f>
        <v>0</v>
      </c>
    </row>
    <row r="66" spans="1:12" x14ac:dyDescent="0.3">
      <c r="A66" s="16" t="s">
        <v>21</v>
      </c>
      <c r="B66" s="16" t="s">
        <v>11</v>
      </c>
      <c r="C66" s="31">
        <v>46265</v>
      </c>
      <c r="D66" s="17">
        <v>26251.49</v>
      </c>
      <c r="E66" s="17">
        <v>0</v>
      </c>
      <c r="F66" s="17">
        <v>2329.7199999999998</v>
      </c>
      <c r="G66" s="17">
        <v>0</v>
      </c>
      <c r="H66" s="17">
        <f t="shared" si="0"/>
        <v>23921.77</v>
      </c>
      <c r="I66" s="17">
        <v>23878.080000000002</v>
      </c>
      <c r="J66" s="17">
        <f t="shared" si="1"/>
        <v>-43.68999999999869</v>
      </c>
      <c r="K66" s="23">
        <f t="shared" si="2"/>
        <v>-1.8753326580017639E-2</v>
      </c>
      <c r="L66" s="17">
        <f>SUMIFS('Registros manuales'!$D$5:$D$104,'Registros manuales'!$A$5:$A$104,A66,'Registros manuales'!$B$5:$B$104,B66,'Registros manuales'!$C$5:$C$104,C66)</f>
        <v>0</v>
      </c>
    </row>
    <row r="67" spans="1:12" x14ac:dyDescent="0.3">
      <c r="A67" s="16" t="s">
        <v>21</v>
      </c>
      <c r="B67" s="16" t="s">
        <v>12</v>
      </c>
      <c r="C67" s="31">
        <v>46235</v>
      </c>
      <c r="D67" s="17">
        <v>27221.33</v>
      </c>
      <c r="E67" s="17">
        <v>35778</v>
      </c>
      <c r="F67" s="17">
        <v>7771.82</v>
      </c>
      <c r="G67" s="17">
        <v>0</v>
      </c>
      <c r="H67" s="17">
        <f t="shared" si="0"/>
        <v>55227.51</v>
      </c>
      <c r="I67" s="17">
        <v>55588.13</v>
      </c>
      <c r="J67" s="17">
        <f t="shared" si="1"/>
        <v>360.61999999999534</v>
      </c>
      <c r="K67" s="23">
        <f t="shared" si="2"/>
        <v>4.6400971715762247E-2</v>
      </c>
      <c r="L67" s="17">
        <f>SUMIFS('Registros manuales'!$D$5:$D$104,'Registros manuales'!$A$5:$A$104,A67,'Registros manuales'!$B$5:$B$104,B67,'Registros manuales'!$C$5:$C$104,C67)</f>
        <v>0</v>
      </c>
    </row>
    <row r="68" spans="1:12" x14ac:dyDescent="0.3">
      <c r="A68" s="16" t="s">
        <v>21</v>
      </c>
      <c r="B68" s="16" t="s">
        <v>12</v>
      </c>
      <c r="C68" s="31">
        <v>46236</v>
      </c>
      <c r="D68" s="17">
        <v>55588.13</v>
      </c>
      <c r="E68" s="17">
        <v>0</v>
      </c>
      <c r="F68" s="17">
        <v>3637.3</v>
      </c>
      <c r="G68" s="17">
        <v>0</v>
      </c>
      <c r="H68" s="17">
        <f t="shared" si="0"/>
        <v>51950.829999999994</v>
      </c>
      <c r="I68" s="17">
        <v>51877.46</v>
      </c>
      <c r="J68" s="17">
        <f t="shared" si="1"/>
        <v>-73.369999999995343</v>
      </c>
      <c r="K68" s="23">
        <f t="shared" si="2"/>
        <v>-2.0171555824373941E-2</v>
      </c>
      <c r="L68" s="17">
        <f>SUMIFS('Registros manuales'!$D$5:$D$104,'Registros manuales'!$A$5:$A$104,A68,'Registros manuales'!$B$5:$B$104,B68,'Registros manuales'!$C$5:$C$104,C68)</f>
        <v>0</v>
      </c>
    </row>
    <row r="69" spans="1:12" x14ac:dyDescent="0.3">
      <c r="A69" s="16" t="s">
        <v>21</v>
      </c>
      <c r="B69" s="16" t="s">
        <v>12</v>
      </c>
      <c r="C69" s="31">
        <v>46237</v>
      </c>
      <c r="D69" s="17">
        <v>51877.46</v>
      </c>
      <c r="E69" s="17">
        <v>0</v>
      </c>
      <c r="F69" s="17">
        <v>12931.3</v>
      </c>
      <c r="G69" s="17">
        <v>0</v>
      </c>
      <c r="H69" s="17">
        <f t="shared" ref="H69:H132" si="3">D69+E69+L69-F69+G69</f>
        <v>38946.160000000003</v>
      </c>
      <c r="I69" s="17">
        <v>38928.050000000003</v>
      </c>
      <c r="J69" s="17">
        <f t="shared" ref="J69:J132" si="4">I69-H69</f>
        <v>-18.110000000000582</v>
      </c>
      <c r="K69" s="23">
        <f t="shared" ref="K69:K132" si="5">IF(F69=0,0,J69/F69)</f>
        <v>-1.400477910186956E-3</v>
      </c>
      <c r="L69" s="17">
        <f>SUMIFS('Registros manuales'!$D$5:$D$104,'Registros manuales'!$A$5:$A$104,A69,'Registros manuales'!$B$5:$B$104,B69,'Registros manuales'!$C$5:$C$104,C69)</f>
        <v>0</v>
      </c>
    </row>
    <row r="70" spans="1:12" x14ac:dyDescent="0.3">
      <c r="A70" s="16" t="s">
        <v>21</v>
      </c>
      <c r="B70" s="16" t="s">
        <v>12</v>
      </c>
      <c r="C70" s="31">
        <v>46238</v>
      </c>
      <c r="D70" s="17">
        <v>38928.050000000003</v>
      </c>
      <c r="E70" s="17">
        <v>0</v>
      </c>
      <c r="F70" s="17">
        <v>13075.89</v>
      </c>
      <c r="G70" s="17">
        <v>0</v>
      </c>
      <c r="H70" s="17">
        <f t="shared" si="3"/>
        <v>25852.160000000003</v>
      </c>
      <c r="I70" s="17">
        <v>25900.25</v>
      </c>
      <c r="J70" s="17">
        <f t="shared" si="4"/>
        <v>48.089999999996508</v>
      </c>
      <c r="K70" s="23">
        <f t="shared" si="5"/>
        <v>3.6777611313644049E-3</v>
      </c>
      <c r="L70" s="17">
        <f>SUMIFS('Registros manuales'!$D$5:$D$104,'Registros manuales'!$A$5:$A$104,A70,'Registros manuales'!$B$5:$B$104,B70,'Registros manuales'!$C$5:$C$104,C70)</f>
        <v>0</v>
      </c>
    </row>
    <row r="71" spans="1:12" x14ac:dyDescent="0.3">
      <c r="A71" s="16" t="s">
        <v>21</v>
      </c>
      <c r="B71" s="16" t="s">
        <v>12</v>
      </c>
      <c r="C71" s="31">
        <v>46239</v>
      </c>
      <c r="D71" s="17">
        <v>25900.25</v>
      </c>
      <c r="E71" s="17">
        <v>35835</v>
      </c>
      <c r="F71" s="17">
        <v>10810.7</v>
      </c>
      <c r="G71" s="17">
        <v>0</v>
      </c>
      <c r="H71" s="17">
        <f t="shared" si="3"/>
        <v>50924.55</v>
      </c>
      <c r="I71" s="17">
        <v>51155.48</v>
      </c>
      <c r="J71" s="17">
        <f t="shared" si="4"/>
        <v>230.93000000000029</v>
      </c>
      <c r="K71" s="23">
        <f t="shared" si="5"/>
        <v>2.136124395275054E-2</v>
      </c>
      <c r="L71" s="17">
        <f>SUMIFS('Registros manuales'!$D$5:$D$104,'Registros manuales'!$A$5:$A$104,A71,'Registros manuales'!$B$5:$B$104,B71,'Registros manuales'!$C$5:$C$104,C71)</f>
        <v>0</v>
      </c>
    </row>
    <row r="72" spans="1:12" x14ac:dyDescent="0.3">
      <c r="A72" s="16" t="s">
        <v>21</v>
      </c>
      <c r="B72" s="16" t="s">
        <v>12</v>
      </c>
      <c r="C72" s="31">
        <v>46240</v>
      </c>
      <c r="D72" s="17">
        <v>51155.48</v>
      </c>
      <c r="E72" s="17">
        <v>0</v>
      </c>
      <c r="F72" s="17">
        <v>12702.29</v>
      </c>
      <c r="G72" s="17">
        <v>0</v>
      </c>
      <c r="H72" s="17">
        <f t="shared" si="3"/>
        <v>38453.19</v>
      </c>
      <c r="I72" s="17">
        <v>38521.550000000003</v>
      </c>
      <c r="J72" s="17">
        <f t="shared" si="4"/>
        <v>68.360000000000582</v>
      </c>
      <c r="K72" s="23">
        <f t="shared" si="5"/>
        <v>5.3817067631112643E-3</v>
      </c>
      <c r="L72" s="17">
        <f>SUMIFS('Registros manuales'!$D$5:$D$104,'Registros manuales'!$A$5:$A$104,A72,'Registros manuales'!$B$5:$B$104,B72,'Registros manuales'!$C$5:$C$104,C72)</f>
        <v>0</v>
      </c>
    </row>
    <row r="73" spans="1:12" x14ac:dyDescent="0.3">
      <c r="A73" s="16" t="s">
        <v>21</v>
      </c>
      <c r="B73" s="16" t="s">
        <v>12</v>
      </c>
      <c r="C73" s="31">
        <v>46241</v>
      </c>
      <c r="D73" s="17">
        <v>38521.550000000003</v>
      </c>
      <c r="E73" s="17">
        <v>0</v>
      </c>
      <c r="F73" s="17">
        <v>10933.25</v>
      </c>
      <c r="G73" s="17">
        <v>0</v>
      </c>
      <c r="H73" s="17">
        <f t="shared" si="3"/>
        <v>27588.300000000003</v>
      </c>
      <c r="I73" s="17">
        <v>27600.22</v>
      </c>
      <c r="J73" s="17">
        <f t="shared" si="4"/>
        <v>11.919999999998254</v>
      </c>
      <c r="K73" s="23">
        <f t="shared" si="5"/>
        <v>1.0902522122880438E-3</v>
      </c>
      <c r="L73" s="17">
        <f>SUMIFS('Registros manuales'!$D$5:$D$104,'Registros manuales'!$A$5:$A$104,A73,'Registros manuales'!$B$5:$B$104,B73,'Registros manuales'!$C$5:$C$104,C73)</f>
        <v>0</v>
      </c>
    </row>
    <row r="74" spans="1:12" x14ac:dyDescent="0.3">
      <c r="A74" s="16" t="s">
        <v>21</v>
      </c>
      <c r="B74" s="16" t="s">
        <v>12</v>
      </c>
      <c r="C74" s="31">
        <v>46242</v>
      </c>
      <c r="D74" s="17">
        <v>27600.22</v>
      </c>
      <c r="E74" s="17">
        <v>0</v>
      </c>
      <c r="F74" s="17">
        <v>8281.06</v>
      </c>
      <c r="G74" s="17">
        <v>0</v>
      </c>
      <c r="H74" s="17">
        <f t="shared" si="3"/>
        <v>19319.160000000003</v>
      </c>
      <c r="I74" s="17">
        <v>19366.54</v>
      </c>
      <c r="J74" s="17">
        <f t="shared" si="4"/>
        <v>47.379999999997381</v>
      </c>
      <c r="K74" s="23">
        <f t="shared" si="5"/>
        <v>5.7214897609723135E-3</v>
      </c>
      <c r="L74" s="17">
        <f>SUMIFS('Registros manuales'!$D$5:$D$104,'Registros manuales'!$A$5:$A$104,A74,'Registros manuales'!$B$5:$B$104,B74,'Registros manuales'!$C$5:$C$104,C74)</f>
        <v>0</v>
      </c>
    </row>
    <row r="75" spans="1:12" x14ac:dyDescent="0.3">
      <c r="A75" s="16" t="s">
        <v>21</v>
      </c>
      <c r="B75" s="16" t="s">
        <v>12</v>
      </c>
      <c r="C75" s="31">
        <v>46243</v>
      </c>
      <c r="D75" s="17">
        <v>19366.54</v>
      </c>
      <c r="E75" s="17">
        <v>0</v>
      </c>
      <c r="F75" s="17">
        <v>2982.45</v>
      </c>
      <c r="G75" s="17">
        <v>0</v>
      </c>
      <c r="H75" s="17">
        <f t="shared" si="3"/>
        <v>16384.09</v>
      </c>
      <c r="I75" s="17">
        <v>16406.240000000002</v>
      </c>
      <c r="J75" s="17">
        <f t="shared" si="4"/>
        <v>22.150000000001455</v>
      </c>
      <c r="K75" s="23">
        <f t="shared" si="5"/>
        <v>7.4267799963122451E-3</v>
      </c>
      <c r="L75" s="17">
        <f>SUMIFS('Registros manuales'!$D$5:$D$104,'Registros manuales'!$A$5:$A$104,A75,'Registros manuales'!$B$5:$B$104,B75,'Registros manuales'!$C$5:$C$104,C75)</f>
        <v>0</v>
      </c>
    </row>
    <row r="76" spans="1:12" x14ac:dyDescent="0.3">
      <c r="A76" s="16" t="s">
        <v>21</v>
      </c>
      <c r="B76" s="16" t="s">
        <v>12</v>
      </c>
      <c r="C76" s="31">
        <v>46244</v>
      </c>
      <c r="D76" s="17">
        <v>16406.240000000002</v>
      </c>
      <c r="E76" s="17">
        <v>0</v>
      </c>
      <c r="F76" s="17">
        <v>11277.77</v>
      </c>
      <c r="G76" s="17">
        <v>0</v>
      </c>
      <c r="H76" s="17">
        <f t="shared" si="3"/>
        <v>5128.4700000000012</v>
      </c>
      <c r="I76" s="17">
        <v>40733.949999999997</v>
      </c>
      <c r="J76" s="17">
        <f t="shared" si="4"/>
        <v>35605.479999999996</v>
      </c>
      <c r="K76" s="23">
        <f t="shared" si="5"/>
        <v>3.1571383349722502</v>
      </c>
      <c r="L76" s="17">
        <f>SUMIFS('Registros manuales'!$D$5:$D$104,'Registros manuales'!$A$5:$A$104,A76,'Registros manuales'!$B$5:$B$104,B76,'Registros manuales'!$C$5:$C$104,C76)</f>
        <v>0</v>
      </c>
    </row>
    <row r="77" spans="1:12" x14ac:dyDescent="0.3">
      <c r="A77" s="16" t="s">
        <v>21</v>
      </c>
      <c r="B77" s="16" t="s">
        <v>12</v>
      </c>
      <c r="C77" s="31">
        <v>46245</v>
      </c>
      <c r="D77" s="17">
        <v>40733.949999999997</v>
      </c>
      <c r="E77" s="17">
        <v>0</v>
      </c>
      <c r="F77" s="17">
        <v>11614.45</v>
      </c>
      <c r="G77" s="17">
        <v>0</v>
      </c>
      <c r="H77" s="17">
        <f t="shared" si="3"/>
        <v>29119.499999999996</v>
      </c>
      <c r="I77" s="17">
        <v>29166.45</v>
      </c>
      <c r="J77" s="17">
        <f t="shared" si="4"/>
        <v>46.950000000004366</v>
      </c>
      <c r="K77" s="23">
        <f t="shared" si="5"/>
        <v>4.0423782443425533E-3</v>
      </c>
      <c r="L77" s="17">
        <f>SUMIFS('Registros manuales'!$D$5:$D$104,'Registros manuales'!$A$5:$A$104,A77,'Registros manuales'!$B$5:$B$104,B77,'Registros manuales'!$C$5:$C$104,C77)</f>
        <v>0</v>
      </c>
    </row>
    <row r="78" spans="1:12" x14ac:dyDescent="0.3">
      <c r="A78" s="16" t="s">
        <v>21</v>
      </c>
      <c r="B78" s="16" t="s">
        <v>12</v>
      </c>
      <c r="C78" s="31">
        <v>46246</v>
      </c>
      <c r="D78" s="17">
        <v>29166.45</v>
      </c>
      <c r="E78" s="17">
        <v>35875</v>
      </c>
      <c r="F78" s="17">
        <v>10403.299999999999</v>
      </c>
      <c r="G78" s="17">
        <v>0</v>
      </c>
      <c r="H78" s="17">
        <f t="shared" si="3"/>
        <v>54638.149999999994</v>
      </c>
      <c r="I78" s="17">
        <v>18837.400000000001</v>
      </c>
      <c r="J78" s="17">
        <f t="shared" si="4"/>
        <v>-35800.749999999993</v>
      </c>
      <c r="K78" s="23">
        <f t="shared" si="5"/>
        <v>-3.4412878605826993</v>
      </c>
      <c r="L78" s="17">
        <f>SUMIFS('Registros manuales'!$D$5:$D$104,'Registros manuales'!$A$5:$A$104,A78,'Registros manuales'!$B$5:$B$104,B78,'Registros manuales'!$C$5:$C$104,C78)</f>
        <v>0</v>
      </c>
    </row>
    <row r="79" spans="1:12" x14ac:dyDescent="0.3">
      <c r="A79" s="16" t="s">
        <v>21</v>
      </c>
      <c r="B79" s="16" t="s">
        <v>12</v>
      </c>
      <c r="C79" s="31">
        <v>46247</v>
      </c>
      <c r="D79" s="17">
        <v>18837.400000000001</v>
      </c>
      <c r="E79" s="17">
        <v>35921</v>
      </c>
      <c r="F79" s="17">
        <v>11262.6</v>
      </c>
      <c r="G79" s="17">
        <v>0</v>
      </c>
      <c r="H79" s="17">
        <f t="shared" si="3"/>
        <v>43495.8</v>
      </c>
      <c r="I79" s="17">
        <v>43672.14</v>
      </c>
      <c r="J79" s="17">
        <f t="shared" si="4"/>
        <v>176.33999999999651</v>
      </c>
      <c r="K79" s="23">
        <f t="shared" si="5"/>
        <v>1.5657130680304415E-2</v>
      </c>
      <c r="L79" s="17">
        <f>SUMIFS('Registros manuales'!$D$5:$D$104,'Registros manuales'!$A$5:$A$104,A79,'Registros manuales'!$B$5:$B$104,B79,'Registros manuales'!$C$5:$C$104,C79)</f>
        <v>0</v>
      </c>
    </row>
    <row r="80" spans="1:12" x14ac:dyDescent="0.3">
      <c r="A80" s="16" t="s">
        <v>21</v>
      </c>
      <c r="B80" s="16" t="s">
        <v>12</v>
      </c>
      <c r="C80" s="31">
        <v>46248</v>
      </c>
      <c r="D80" s="17">
        <v>43672.14</v>
      </c>
      <c r="E80" s="17">
        <v>0</v>
      </c>
      <c r="F80" s="17">
        <v>9617.2199999999993</v>
      </c>
      <c r="G80" s="17">
        <v>0</v>
      </c>
      <c r="H80" s="17">
        <f t="shared" si="3"/>
        <v>34054.92</v>
      </c>
      <c r="I80" s="17">
        <v>34074.71</v>
      </c>
      <c r="J80" s="17">
        <f t="shared" si="4"/>
        <v>19.790000000000873</v>
      </c>
      <c r="K80" s="23">
        <f t="shared" si="5"/>
        <v>2.0577672133943983E-3</v>
      </c>
      <c r="L80" s="17">
        <f>SUMIFS('Registros manuales'!$D$5:$D$104,'Registros manuales'!$A$5:$A$104,A80,'Registros manuales'!$B$5:$B$104,B80,'Registros manuales'!$C$5:$C$104,C80)</f>
        <v>0</v>
      </c>
    </row>
    <row r="81" spans="1:12" x14ac:dyDescent="0.3">
      <c r="A81" s="16" t="s">
        <v>21</v>
      </c>
      <c r="B81" s="16" t="s">
        <v>12</v>
      </c>
      <c r="C81" s="31">
        <v>46249</v>
      </c>
      <c r="D81" s="17">
        <v>34074.71</v>
      </c>
      <c r="E81" s="17">
        <v>0</v>
      </c>
      <c r="F81" s="17">
        <v>10253.879999999999</v>
      </c>
      <c r="G81" s="17">
        <v>0</v>
      </c>
      <c r="H81" s="17">
        <f t="shared" si="3"/>
        <v>23820.83</v>
      </c>
      <c r="I81" s="17">
        <v>23845.07</v>
      </c>
      <c r="J81" s="17">
        <f t="shared" si="4"/>
        <v>24.239999999997963</v>
      </c>
      <c r="K81" s="23">
        <f t="shared" si="5"/>
        <v>2.3639831946539228E-3</v>
      </c>
      <c r="L81" s="17">
        <f>SUMIFS('Registros manuales'!$D$5:$D$104,'Registros manuales'!$A$5:$A$104,A81,'Registros manuales'!$B$5:$B$104,B81,'Registros manuales'!$C$5:$C$104,C81)</f>
        <v>0</v>
      </c>
    </row>
    <row r="82" spans="1:12" x14ac:dyDescent="0.3">
      <c r="A82" s="16" t="s">
        <v>21</v>
      </c>
      <c r="B82" s="16" t="s">
        <v>12</v>
      </c>
      <c r="C82" s="31">
        <v>46250</v>
      </c>
      <c r="D82" s="17">
        <v>23845.07</v>
      </c>
      <c r="E82" s="17">
        <v>0</v>
      </c>
      <c r="F82" s="17">
        <v>3069.98</v>
      </c>
      <c r="G82" s="17">
        <v>0</v>
      </c>
      <c r="H82" s="17">
        <f t="shared" si="3"/>
        <v>20775.09</v>
      </c>
      <c r="I82" s="17">
        <v>20790.05</v>
      </c>
      <c r="J82" s="17">
        <f t="shared" si="4"/>
        <v>14.959999999999127</v>
      </c>
      <c r="K82" s="23">
        <f t="shared" si="5"/>
        <v>4.8729959152825509E-3</v>
      </c>
      <c r="L82" s="17">
        <f>SUMIFS('Registros manuales'!$D$5:$D$104,'Registros manuales'!$A$5:$A$104,A82,'Registros manuales'!$B$5:$B$104,B82,'Registros manuales'!$C$5:$C$104,C82)</f>
        <v>0</v>
      </c>
    </row>
    <row r="83" spans="1:12" x14ac:dyDescent="0.3">
      <c r="A83" s="16" t="s">
        <v>21</v>
      </c>
      <c r="B83" s="16" t="s">
        <v>12</v>
      </c>
      <c r="C83" s="31">
        <v>46251</v>
      </c>
      <c r="D83" s="17">
        <v>20790.05</v>
      </c>
      <c r="E83" s="17">
        <v>35870</v>
      </c>
      <c r="F83" s="17">
        <v>14511.62</v>
      </c>
      <c r="G83" s="17">
        <v>0</v>
      </c>
      <c r="H83" s="17">
        <f t="shared" si="3"/>
        <v>42148.43</v>
      </c>
      <c r="I83" s="17">
        <v>41983.95</v>
      </c>
      <c r="J83" s="17">
        <f t="shared" si="4"/>
        <v>-164.4800000000032</v>
      </c>
      <c r="K83" s="23">
        <f t="shared" si="5"/>
        <v>-1.1334365150135077E-2</v>
      </c>
      <c r="L83" s="17">
        <f>SUMIFS('Registros manuales'!$D$5:$D$104,'Registros manuales'!$A$5:$A$104,A83,'Registros manuales'!$B$5:$B$104,B83,'Registros manuales'!$C$5:$C$104,C83)</f>
        <v>0</v>
      </c>
    </row>
    <row r="84" spans="1:12" x14ac:dyDescent="0.3">
      <c r="A84" s="16" t="s">
        <v>21</v>
      </c>
      <c r="B84" s="16" t="s">
        <v>12</v>
      </c>
      <c r="C84" s="31">
        <v>46252</v>
      </c>
      <c r="D84" s="17">
        <v>41983.95</v>
      </c>
      <c r="E84" s="17">
        <v>0</v>
      </c>
      <c r="F84" s="17">
        <v>8448.81</v>
      </c>
      <c r="G84" s="17">
        <v>0</v>
      </c>
      <c r="H84" s="17">
        <f t="shared" si="3"/>
        <v>33535.14</v>
      </c>
      <c r="I84" s="17">
        <v>33529.29</v>
      </c>
      <c r="J84" s="17">
        <f t="shared" si="4"/>
        <v>-5.8499999999985448</v>
      </c>
      <c r="K84" s="23">
        <f t="shared" si="5"/>
        <v>-6.9240520262599649E-4</v>
      </c>
      <c r="L84" s="17">
        <f>SUMIFS('Registros manuales'!$D$5:$D$104,'Registros manuales'!$A$5:$A$104,A84,'Registros manuales'!$B$5:$B$104,B84,'Registros manuales'!$C$5:$C$104,C84)</f>
        <v>0</v>
      </c>
    </row>
    <row r="85" spans="1:12" x14ac:dyDescent="0.3">
      <c r="A85" s="16" t="s">
        <v>21</v>
      </c>
      <c r="B85" s="16" t="s">
        <v>12</v>
      </c>
      <c r="C85" s="31">
        <v>46253</v>
      </c>
      <c r="D85" s="17">
        <v>33529.29</v>
      </c>
      <c r="E85" s="17">
        <v>0</v>
      </c>
      <c r="F85" s="17">
        <v>9804.01</v>
      </c>
      <c r="G85" s="17">
        <v>0</v>
      </c>
      <c r="H85" s="17">
        <f t="shared" si="3"/>
        <v>23725.279999999999</v>
      </c>
      <c r="I85" s="17">
        <v>23745.22</v>
      </c>
      <c r="J85" s="17">
        <f t="shared" si="4"/>
        <v>19.940000000002328</v>
      </c>
      <c r="K85" s="23">
        <f t="shared" si="5"/>
        <v>2.0338616545681133E-3</v>
      </c>
      <c r="L85" s="17">
        <f>SUMIFS('Registros manuales'!$D$5:$D$104,'Registros manuales'!$A$5:$A$104,A85,'Registros manuales'!$B$5:$B$104,B85,'Registros manuales'!$C$5:$C$104,C85)</f>
        <v>0</v>
      </c>
    </row>
    <row r="86" spans="1:12" x14ac:dyDescent="0.3">
      <c r="A86" s="16" t="s">
        <v>21</v>
      </c>
      <c r="B86" s="16" t="s">
        <v>12</v>
      </c>
      <c r="C86" s="31">
        <v>46254</v>
      </c>
      <c r="D86" s="17">
        <v>23745.22</v>
      </c>
      <c r="E86" s="17">
        <v>0</v>
      </c>
      <c r="F86" s="17">
        <v>9763.24</v>
      </c>
      <c r="G86" s="17">
        <v>0</v>
      </c>
      <c r="H86" s="17">
        <f t="shared" si="3"/>
        <v>13981.980000000001</v>
      </c>
      <c r="I86" s="17">
        <v>14058.76</v>
      </c>
      <c r="J86" s="17">
        <f t="shared" si="4"/>
        <v>76.779999999998836</v>
      </c>
      <c r="K86" s="23">
        <f t="shared" si="5"/>
        <v>7.8641926245794254E-3</v>
      </c>
      <c r="L86" s="17">
        <f>SUMIFS('Registros manuales'!$D$5:$D$104,'Registros manuales'!$A$5:$A$104,A86,'Registros manuales'!$B$5:$B$104,B86,'Registros manuales'!$C$5:$C$104,C86)</f>
        <v>0</v>
      </c>
    </row>
    <row r="87" spans="1:12" x14ac:dyDescent="0.3">
      <c r="A87" s="16" t="s">
        <v>21</v>
      </c>
      <c r="B87" s="16" t="s">
        <v>12</v>
      </c>
      <c r="C87" s="31">
        <v>46255</v>
      </c>
      <c r="D87" s="17">
        <v>14058.76</v>
      </c>
      <c r="E87" s="17">
        <v>35888</v>
      </c>
      <c r="F87" s="17">
        <v>9474.17</v>
      </c>
      <c r="G87" s="17">
        <v>0</v>
      </c>
      <c r="H87" s="17">
        <f t="shared" si="3"/>
        <v>40472.590000000004</v>
      </c>
      <c r="I87" s="17">
        <v>40226.36</v>
      </c>
      <c r="J87" s="17">
        <f t="shared" si="4"/>
        <v>-246.2300000000032</v>
      </c>
      <c r="K87" s="23">
        <f t="shared" si="5"/>
        <v>-2.5989611754908683E-2</v>
      </c>
      <c r="L87" s="17">
        <f>SUMIFS('Registros manuales'!$D$5:$D$104,'Registros manuales'!$A$5:$A$104,A87,'Registros manuales'!$B$5:$B$104,B87,'Registros manuales'!$C$5:$C$104,C87)</f>
        <v>0</v>
      </c>
    </row>
    <row r="88" spans="1:12" x14ac:dyDescent="0.3">
      <c r="A88" s="16" t="s">
        <v>21</v>
      </c>
      <c r="B88" s="16" t="s">
        <v>12</v>
      </c>
      <c r="C88" s="31">
        <v>46256</v>
      </c>
      <c r="D88" s="17">
        <v>40226.36</v>
      </c>
      <c r="E88" s="17">
        <v>0</v>
      </c>
      <c r="F88" s="17">
        <v>7715.53</v>
      </c>
      <c r="G88" s="17">
        <v>0</v>
      </c>
      <c r="H88" s="17">
        <f t="shared" si="3"/>
        <v>32510.83</v>
      </c>
      <c r="I88" s="17">
        <v>32507.31</v>
      </c>
      <c r="J88" s="17">
        <f t="shared" si="4"/>
        <v>-3.5200000000004366</v>
      </c>
      <c r="K88" s="23">
        <f t="shared" si="5"/>
        <v>-4.562227092630625E-4</v>
      </c>
      <c r="L88" s="17">
        <f>SUMIFS('Registros manuales'!$D$5:$D$104,'Registros manuales'!$A$5:$A$104,A88,'Registros manuales'!$B$5:$B$104,B88,'Registros manuales'!$C$5:$C$104,C88)</f>
        <v>0</v>
      </c>
    </row>
    <row r="89" spans="1:12" x14ac:dyDescent="0.3">
      <c r="A89" s="16" t="s">
        <v>21</v>
      </c>
      <c r="B89" s="16" t="s">
        <v>12</v>
      </c>
      <c r="C89" s="31">
        <v>46257</v>
      </c>
      <c r="D89" s="17">
        <v>32507.31</v>
      </c>
      <c r="E89" s="17">
        <v>0</v>
      </c>
      <c r="F89" s="17">
        <v>3475.83</v>
      </c>
      <c r="G89" s="17">
        <v>0</v>
      </c>
      <c r="H89" s="17">
        <f t="shared" si="3"/>
        <v>29031.480000000003</v>
      </c>
      <c r="I89" s="17">
        <v>29035.39</v>
      </c>
      <c r="J89" s="17">
        <f t="shared" si="4"/>
        <v>3.9099999999962165</v>
      </c>
      <c r="K89" s="23">
        <f t="shared" si="5"/>
        <v>1.1249111722944495E-3</v>
      </c>
      <c r="L89" s="17">
        <f>SUMIFS('Registros manuales'!$D$5:$D$104,'Registros manuales'!$A$5:$A$104,A89,'Registros manuales'!$B$5:$B$104,B89,'Registros manuales'!$C$5:$C$104,C89)</f>
        <v>0</v>
      </c>
    </row>
    <row r="90" spans="1:12" x14ac:dyDescent="0.3">
      <c r="A90" s="16" t="s">
        <v>21</v>
      </c>
      <c r="B90" s="16" t="s">
        <v>12</v>
      </c>
      <c r="C90" s="31">
        <v>46258</v>
      </c>
      <c r="D90" s="17">
        <v>29035.39</v>
      </c>
      <c r="E90" s="17">
        <v>0</v>
      </c>
      <c r="F90" s="17">
        <v>8038.85</v>
      </c>
      <c r="G90" s="17">
        <v>0</v>
      </c>
      <c r="H90" s="17">
        <f t="shared" si="3"/>
        <v>20996.54</v>
      </c>
      <c r="I90" s="17">
        <v>21035.23</v>
      </c>
      <c r="J90" s="17">
        <f t="shared" si="4"/>
        <v>38.68999999999869</v>
      </c>
      <c r="K90" s="23">
        <f t="shared" si="5"/>
        <v>4.8128774638161792E-3</v>
      </c>
      <c r="L90" s="17">
        <f>SUMIFS('Registros manuales'!$D$5:$D$104,'Registros manuales'!$A$5:$A$104,A90,'Registros manuales'!$B$5:$B$104,B90,'Registros manuales'!$C$5:$C$104,C90)</f>
        <v>0</v>
      </c>
    </row>
    <row r="91" spans="1:12" x14ac:dyDescent="0.3">
      <c r="A91" s="16" t="s">
        <v>21</v>
      </c>
      <c r="B91" s="16" t="s">
        <v>12</v>
      </c>
      <c r="C91" s="31">
        <v>46259</v>
      </c>
      <c r="D91" s="17">
        <v>21035.23</v>
      </c>
      <c r="E91" s="17">
        <v>0</v>
      </c>
      <c r="F91" s="17">
        <v>7557.13</v>
      </c>
      <c r="G91" s="17">
        <v>0</v>
      </c>
      <c r="H91" s="17">
        <f t="shared" si="3"/>
        <v>13478.099999999999</v>
      </c>
      <c r="I91" s="17">
        <v>49594.06</v>
      </c>
      <c r="J91" s="17">
        <f t="shared" si="4"/>
        <v>36115.96</v>
      </c>
      <c r="K91" s="23">
        <f t="shared" si="5"/>
        <v>4.7790576581321211</v>
      </c>
      <c r="L91" s="17">
        <f>SUMIFS('Registros manuales'!$D$5:$D$104,'Registros manuales'!$A$5:$A$104,A91,'Registros manuales'!$B$5:$B$104,B91,'Registros manuales'!$C$5:$C$104,C91)</f>
        <v>0</v>
      </c>
    </row>
    <row r="92" spans="1:12" x14ac:dyDescent="0.3">
      <c r="A92" s="16" t="s">
        <v>21</v>
      </c>
      <c r="B92" s="16" t="s">
        <v>12</v>
      </c>
      <c r="C92" s="31">
        <v>46260</v>
      </c>
      <c r="D92" s="17">
        <v>49594.06</v>
      </c>
      <c r="E92" s="17">
        <v>35957</v>
      </c>
      <c r="F92" s="17">
        <v>10815.11</v>
      </c>
      <c r="G92" s="17">
        <v>0</v>
      </c>
      <c r="H92" s="17">
        <f t="shared" si="3"/>
        <v>74735.95</v>
      </c>
      <c r="I92" s="17">
        <v>38765</v>
      </c>
      <c r="J92" s="17">
        <f t="shared" si="4"/>
        <v>-35970.949999999997</v>
      </c>
      <c r="K92" s="23">
        <f t="shared" si="5"/>
        <v>-3.3259902118425049</v>
      </c>
      <c r="L92" s="17">
        <f>SUMIFS('Registros manuales'!$D$5:$D$104,'Registros manuales'!$A$5:$A$104,A92,'Registros manuales'!$B$5:$B$104,B92,'Registros manuales'!$C$5:$C$104,C92)</f>
        <v>0</v>
      </c>
    </row>
    <row r="93" spans="1:12" x14ac:dyDescent="0.3">
      <c r="A93" s="16" t="s">
        <v>21</v>
      </c>
      <c r="B93" s="16" t="s">
        <v>12</v>
      </c>
      <c r="C93" s="31">
        <v>46261</v>
      </c>
      <c r="D93" s="17">
        <v>38765</v>
      </c>
      <c r="E93" s="17">
        <v>0</v>
      </c>
      <c r="F93" s="17">
        <v>10014.49</v>
      </c>
      <c r="G93" s="17">
        <v>0</v>
      </c>
      <c r="H93" s="17">
        <f t="shared" si="3"/>
        <v>28750.510000000002</v>
      </c>
      <c r="I93" s="17">
        <v>28754.67</v>
      </c>
      <c r="J93" s="17">
        <f t="shared" si="4"/>
        <v>4.1599999999962165</v>
      </c>
      <c r="K93" s="23">
        <f t="shared" si="5"/>
        <v>4.1539808816986354E-4</v>
      </c>
      <c r="L93" s="17">
        <f>SUMIFS('Registros manuales'!$D$5:$D$104,'Registros manuales'!$A$5:$A$104,A93,'Registros manuales'!$B$5:$B$104,B93,'Registros manuales'!$C$5:$C$104,C93)</f>
        <v>0</v>
      </c>
    </row>
    <row r="94" spans="1:12" x14ac:dyDescent="0.3">
      <c r="A94" s="16" t="s">
        <v>21</v>
      </c>
      <c r="B94" s="16" t="s">
        <v>12</v>
      </c>
      <c r="C94" s="31">
        <v>46262</v>
      </c>
      <c r="D94" s="17">
        <v>28754.67</v>
      </c>
      <c r="E94" s="17">
        <v>0</v>
      </c>
      <c r="F94" s="17">
        <v>10705.35</v>
      </c>
      <c r="G94" s="17">
        <v>0</v>
      </c>
      <c r="H94" s="17">
        <f t="shared" si="3"/>
        <v>18049.32</v>
      </c>
      <c r="I94" s="17">
        <v>53854.84</v>
      </c>
      <c r="J94" s="17">
        <f t="shared" si="4"/>
        <v>35805.519999999997</v>
      </c>
      <c r="K94" s="23">
        <f t="shared" si="5"/>
        <v>3.344637961393135</v>
      </c>
      <c r="L94" s="17">
        <f>SUMIFS('Registros manuales'!$D$5:$D$104,'Registros manuales'!$A$5:$A$104,A94,'Registros manuales'!$B$5:$B$104,B94,'Registros manuales'!$C$5:$C$104,C94)</f>
        <v>0</v>
      </c>
    </row>
    <row r="95" spans="1:12" x14ac:dyDescent="0.3">
      <c r="A95" s="16" t="s">
        <v>21</v>
      </c>
      <c r="B95" s="16" t="s">
        <v>12</v>
      </c>
      <c r="C95" s="31">
        <v>46263</v>
      </c>
      <c r="D95" s="17">
        <v>53854.84</v>
      </c>
      <c r="E95" s="17">
        <v>0</v>
      </c>
      <c r="F95" s="17">
        <v>8176.33</v>
      </c>
      <c r="G95" s="17">
        <v>0</v>
      </c>
      <c r="H95" s="17">
        <f t="shared" si="3"/>
        <v>45678.509999999995</v>
      </c>
      <c r="I95" s="17">
        <v>45604.82</v>
      </c>
      <c r="J95" s="17">
        <f t="shared" si="4"/>
        <v>-73.689999999995052</v>
      </c>
      <c r="K95" s="23">
        <f t="shared" si="5"/>
        <v>-9.012601008031116E-3</v>
      </c>
      <c r="L95" s="17">
        <f>SUMIFS('Registros manuales'!$D$5:$D$104,'Registros manuales'!$A$5:$A$104,A95,'Registros manuales'!$B$5:$B$104,B95,'Registros manuales'!$C$5:$C$104,C95)</f>
        <v>0</v>
      </c>
    </row>
    <row r="96" spans="1:12" x14ac:dyDescent="0.3">
      <c r="A96" s="16" t="s">
        <v>21</v>
      </c>
      <c r="B96" s="16" t="s">
        <v>12</v>
      </c>
      <c r="C96" s="31">
        <v>46264</v>
      </c>
      <c r="D96" s="17">
        <v>45604.82</v>
      </c>
      <c r="E96" s="17">
        <v>35877</v>
      </c>
      <c r="F96" s="17">
        <v>6133.25</v>
      </c>
      <c r="G96" s="17">
        <v>0</v>
      </c>
      <c r="H96" s="17">
        <f t="shared" si="3"/>
        <v>75348.570000000007</v>
      </c>
      <c r="I96" s="17">
        <v>39453.949999999997</v>
      </c>
      <c r="J96" s="17">
        <f t="shared" si="4"/>
        <v>-35894.62000000001</v>
      </c>
      <c r="K96" s="23">
        <f t="shared" si="5"/>
        <v>-5.8524632128153931</v>
      </c>
      <c r="L96" s="17">
        <f>SUMIFS('Registros manuales'!$D$5:$D$104,'Registros manuales'!$A$5:$A$104,A96,'Registros manuales'!$B$5:$B$104,B96,'Registros manuales'!$C$5:$C$104,C96)</f>
        <v>0</v>
      </c>
    </row>
    <row r="97" spans="1:12" x14ac:dyDescent="0.3">
      <c r="A97" s="16" t="s">
        <v>21</v>
      </c>
      <c r="B97" s="16" t="s">
        <v>12</v>
      </c>
      <c r="C97" s="31">
        <v>46265</v>
      </c>
      <c r="D97" s="17">
        <v>39453.949999999997</v>
      </c>
      <c r="E97" s="17">
        <v>0</v>
      </c>
      <c r="F97" s="17">
        <v>10960.1</v>
      </c>
      <c r="G97" s="17">
        <v>0</v>
      </c>
      <c r="H97" s="17">
        <f t="shared" si="3"/>
        <v>28493.85</v>
      </c>
      <c r="I97" s="17">
        <v>28496.59</v>
      </c>
      <c r="J97" s="17">
        <f t="shared" si="4"/>
        <v>2.7400000000016007</v>
      </c>
      <c r="K97" s="23">
        <f t="shared" si="5"/>
        <v>2.4999771899906028E-4</v>
      </c>
      <c r="L97" s="17">
        <f>SUMIFS('Registros manuales'!$D$5:$D$104,'Registros manuales'!$A$5:$A$104,A97,'Registros manuales'!$B$5:$B$104,B97,'Registros manuales'!$C$5:$C$104,C97)</f>
        <v>0</v>
      </c>
    </row>
    <row r="98" spans="1:12" x14ac:dyDescent="0.3">
      <c r="A98" s="16" t="s">
        <v>23</v>
      </c>
      <c r="B98" s="16" t="s">
        <v>10</v>
      </c>
      <c r="C98" s="31">
        <v>46235</v>
      </c>
      <c r="D98" s="17">
        <v>24744.799999999999</v>
      </c>
      <c r="E98" s="17">
        <v>0</v>
      </c>
      <c r="F98" s="17">
        <v>18715.5</v>
      </c>
      <c r="G98" s="17">
        <v>0</v>
      </c>
      <c r="H98" s="17">
        <f t="shared" si="3"/>
        <v>6029.2999999999993</v>
      </c>
      <c r="I98" s="17">
        <v>40506.639999999999</v>
      </c>
      <c r="J98" s="17">
        <f t="shared" si="4"/>
        <v>34477.339999999997</v>
      </c>
      <c r="K98" s="23">
        <f t="shared" si="5"/>
        <v>1.8421810798535971</v>
      </c>
      <c r="L98" s="17">
        <f>SUMIFS('Registros manuales'!$D$5:$D$104,'Registros manuales'!$A$5:$A$104,A98,'Registros manuales'!$B$5:$B$104,B98,'Registros manuales'!$C$5:$C$104,C98)</f>
        <v>0</v>
      </c>
    </row>
    <row r="99" spans="1:12" x14ac:dyDescent="0.3">
      <c r="A99" s="16" t="s">
        <v>23</v>
      </c>
      <c r="B99" s="16" t="s">
        <v>10</v>
      </c>
      <c r="C99" s="31">
        <v>46236</v>
      </c>
      <c r="D99" s="17">
        <v>40506.639999999999</v>
      </c>
      <c r="E99" s="17">
        <v>33506</v>
      </c>
      <c r="F99" s="17">
        <v>16310.3</v>
      </c>
      <c r="G99" s="17">
        <v>0</v>
      </c>
      <c r="H99" s="17">
        <f t="shared" si="3"/>
        <v>57702.34</v>
      </c>
      <c r="I99" s="17">
        <v>23408.82</v>
      </c>
      <c r="J99" s="17">
        <f t="shared" si="4"/>
        <v>-34293.519999999997</v>
      </c>
      <c r="K99" s="23">
        <f t="shared" si="5"/>
        <v>-2.102568315726872</v>
      </c>
      <c r="L99" s="17">
        <f>SUMIFS('Registros manuales'!$D$5:$D$104,'Registros manuales'!$A$5:$A$104,A99,'Registros manuales'!$B$5:$B$104,B99,'Registros manuales'!$C$5:$C$104,C99)</f>
        <v>0</v>
      </c>
    </row>
    <row r="100" spans="1:12" x14ac:dyDescent="0.3">
      <c r="A100" s="16" t="s">
        <v>23</v>
      </c>
      <c r="B100" s="16" t="s">
        <v>10</v>
      </c>
      <c r="C100" s="31">
        <v>46237</v>
      </c>
      <c r="D100" s="17">
        <v>23408.82</v>
      </c>
      <c r="E100" s="17">
        <v>29835</v>
      </c>
      <c r="F100" s="17">
        <v>16169.06</v>
      </c>
      <c r="G100" s="17">
        <v>0</v>
      </c>
      <c r="H100" s="17">
        <f t="shared" si="3"/>
        <v>37074.76</v>
      </c>
      <c r="I100" s="17">
        <v>37196.300000000003</v>
      </c>
      <c r="J100" s="17">
        <f t="shared" si="4"/>
        <v>121.54000000000087</v>
      </c>
      <c r="K100" s="23">
        <f t="shared" si="5"/>
        <v>7.5168253442068293E-3</v>
      </c>
      <c r="L100" s="17">
        <f>SUMIFS('Registros manuales'!$D$5:$D$104,'Registros manuales'!$A$5:$A$104,A100,'Registros manuales'!$B$5:$B$104,B100,'Registros manuales'!$C$5:$C$104,C100)</f>
        <v>0</v>
      </c>
    </row>
    <row r="101" spans="1:12" x14ac:dyDescent="0.3">
      <c r="A101" s="16" t="s">
        <v>23</v>
      </c>
      <c r="B101" s="16" t="s">
        <v>10</v>
      </c>
      <c r="C101" s="31">
        <v>46238</v>
      </c>
      <c r="D101" s="17">
        <v>37196.300000000003</v>
      </c>
      <c r="E101" s="17">
        <v>0</v>
      </c>
      <c r="F101" s="17">
        <v>14865.41</v>
      </c>
      <c r="G101" s="17">
        <v>0</v>
      </c>
      <c r="H101" s="17">
        <f t="shared" si="3"/>
        <v>22330.890000000003</v>
      </c>
      <c r="I101" s="17">
        <v>22025.21</v>
      </c>
      <c r="J101" s="17">
        <f t="shared" si="4"/>
        <v>-305.68000000000393</v>
      </c>
      <c r="K101" s="23">
        <f t="shared" si="5"/>
        <v>-2.0563173165086192E-2</v>
      </c>
      <c r="L101" s="17">
        <f>SUMIFS('Registros manuales'!$D$5:$D$104,'Registros manuales'!$A$5:$A$104,A101,'Registros manuales'!$B$5:$B$104,B101,'Registros manuales'!$C$5:$C$104,C101)</f>
        <v>0</v>
      </c>
    </row>
    <row r="102" spans="1:12" x14ac:dyDescent="0.3">
      <c r="A102" s="16" t="s">
        <v>23</v>
      </c>
      <c r="B102" s="16" t="s">
        <v>10</v>
      </c>
      <c r="C102" s="31">
        <v>46239</v>
      </c>
      <c r="D102" s="17">
        <v>22025.21</v>
      </c>
      <c r="E102" s="17">
        <v>29860</v>
      </c>
      <c r="F102" s="17">
        <v>13638.84</v>
      </c>
      <c r="G102" s="17">
        <v>0</v>
      </c>
      <c r="H102" s="17">
        <f t="shared" si="3"/>
        <v>38246.369999999995</v>
      </c>
      <c r="I102" s="17">
        <v>39266.5</v>
      </c>
      <c r="J102" s="17">
        <f t="shared" si="4"/>
        <v>1020.1300000000047</v>
      </c>
      <c r="K102" s="23">
        <f t="shared" si="5"/>
        <v>7.4795950388743079E-2</v>
      </c>
      <c r="L102" s="17">
        <f>SUMIFS('Registros manuales'!$D$5:$D$104,'Registros manuales'!$A$5:$A$104,A102,'Registros manuales'!$B$5:$B$104,B102,'Registros manuales'!$C$5:$C$104,C102)</f>
        <v>0</v>
      </c>
    </row>
    <row r="103" spans="1:12" x14ac:dyDescent="0.3">
      <c r="A103" s="16" t="s">
        <v>23</v>
      </c>
      <c r="B103" s="16" t="s">
        <v>10</v>
      </c>
      <c r="C103" s="31">
        <v>46240</v>
      </c>
      <c r="D103" s="17">
        <v>39266.5</v>
      </c>
      <c r="E103" s="17">
        <v>0</v>
      </c>
      <c r="F103" s="17">
        <v>13398.14</v>
      </c>
      <c r="G103" s="17">
        <v>0</v>
      </c>
      <c r="H103" s="17">
        <f t="shared" si="3"/>
        <v>25868.36</v>
      </c>
      <c r="I103" s="17">
        <v>25204.53</v>
      </c>
      <c r="J103" s="17">
        <f t="shared" si="4"/>
        <v>-663.83000000000175</v>
      </c>
      <c r="K103" s="23">
        <f t="shared" si="5"/>
        <v>-4.954642957903125E-2</v>
      </c>
      <c r="L103" s="17">
        <f>SUMIFS('Registros manuales'!$D$5:$D$104,'Registros manuales'!$A$5:$A$104,A103,'Registros manuales'!$B$5:$B$104,B103,'Registros manuales'!$C$5:$C$104,C103)</f>
        <v>0</v>
      </c>
    </row>
    <row r="104" spans="1:12" x14ac:dyDescent="0.3">
      <c r="A104" s="16" t="s">
        <v>23</v>
      </c>
      <c r="B104" s="16" t="s">
        <v>10</v>
      </c>
      <c r="C104" s="31">
        <v>46241</v>
      </c>
      <c r="D104" s="17">
        <v>25204.53</v>
      </c>
      <c r="E104" s="17">
        <v>0</v>
      </c>
      <c r="F104" s="17">
        <v>15270.1</v>
      </c>
      <c r="G104" s="17">
        <v>0</v>
      </c>
      <c r="H104" s="17">
        <f t="shared" si="3"/>
        <v>9934.4299999999985</v>
      </c>
      <c r="I104" s="17">
        <v>9490.48</v>
      </c>
      <c r="J104" s="17">
        <f t="shared" si="4"/>
        <v>-443.94999999999891</v>
      </c>
      <c r="K104" s="23">
        <f t="shared" si="5"/>
        <v>-2.9073156036961048E-2</v>
      </c>
      <c r="L104" s="17">
        <f>SUMIFS('Registros manuales'!$D$5:$D$104,'Registros manuales'!$A$5:$A$104,A104,'Registros manuales'!$B$5:$B$104,B104,'Registros manuales'!$C$5:$C$104,C104)</f>
        <v>0</v>
      </c>
    </row>
    <row r="105" spans="1:12" x14ac:dyDescent="0.3">
      <c r="A105" s="16" t="s">
        <v>23</v>
      </c>
      <c r="B105" s="16" t="s">
        <v>10</v>
      </c>
      <c r="C105" s="31">
        <v>46242</v>
      </c>
      <c r="D105" s="17">
        <v>9490.48</v>
      </c>
      <c r="E105" s="17">
        <v>60252</v>
      </c>
      <c r="F105" s="17">
        <v>18691.34</v>
      </c>
      <c r="G105" s="17">
        <v>0</v>
      </c>
      <c r="H105" s="17">
        <f t="shared" si="3"/>
        <v>51051.14</v>
      </c>
      <c r="I105" s="17">
        <v>51032.45</v>
      </c>
      <c r="J105" s="17">
        <f t="shared" si="4"/>
        <v>-18.690000000002328</v>
      </c>
      <c r="K105" s="23">
        <f t="shared" si="5"/>
        <v>-9.9992830904591795E-4</v>
      </c>
      <c r="L105" s="17">
        <f>SUMIFS('Registros manuales'!$D$5:$D$104,'Registros manuales'!$A$5:$A$104,A105,'Registros manuales'!$B$5:$B$104,B105,'Registros manuales'!$C$5:$C$104,C105)</f>
        <v>0</v>
      </c>
    </row>
    <row r="106" spans="1:12" x14ac:dyDescent="0.3">
      <c r="A106" s="16" t="s">
        <v>23</v>
      </c>
      <c r="B106" s="16" t="s">
        <v>10</v>
      </c>
      <c r="C106" s="31">
        <v>46243</v>
      </c>
      <c r="D106" s="17">
        <v>51032.45</v>
      </c>
      <c r="E106" s="17">
        <v>0</v>
      </c>
      <c r="F106" s="17">
        <v>15077.45</v>
      </c>
      <c r="G106" s="17">
        <v>0</v>
      </c>
      <c r="H106" s="17">
        <f t="shared" si="3"/>
        <v>35955</v>
      </c>
      <c r="I106" s="17">
        <v>35661.64</v>
      </c>
      <c r="J106" s="17">
        <f t="shared" si="4"/>
        <v>-293.36000000000058</v>
      </c>
      <c r="K106" s="23">
        <f t="shared" si="5"/>
        <v>-1.945687102261991E-2</v>
      </c>
      <c r="L106" s="17">
        <f>SUMIFS('Registros manuales'!$D$5:$D$104,'Registros manuales'!$A$5:$A$104,A106,'Registros manuales'!$B$5:$B$104,B106,'Registros manuales'!$C$5:$C$104,C106)</f>
        <v>0</v>
      </c>
    </row>
    <row r="107" spans="1:12" x14ac:dyDescent="0.3">
      <c r="A107" s="16" t="s">
        <v>23</v>
      </c>
      <c r="B107" s="16" t="s">
        <v>10</v>
      </c>
      <c r="C107" s="31">
        <v>46244</v>
      </c>
      <c r="D107" s="17">
        <v>35661.64</v>
      </c>
      <c r="E107" s="17">
        <v>29868</v>
      </c>
      <c r="F107" s="17">
        <v>13111.9</v>
      </c>
      <c r="G107" s="17">
        <v>0</v>
      </c>
      <c r="H107" s="17">
        <f t="shared" si="3"/>
        <v>52417.74</v>
      </c>
      <c r="I107" s="17">
        <v>52872.2</v>
      </c>
      <c r="J107" s="17">
        <f t="shared" si="4"/>
        <v>454.45999999999913</v>
      </c>
      <c r="K107" s="23">
        <f t="shared" si="5"/>
        <v>3.4660117908159697E-2</v>
      </c>
      <c r="L107" s="17">
        <f>SUMIFS('Registros manuales'!$D$5:$D$104,'Registros manuales'!$A$5:$A$104,A107,'Registros manuales'!$B$5:$B$104,B107,'Registros manuales'!$C$5:$C$104,C107)</f>
        <v>0</v>
      </c>
    </row>
    <row r="108" spans="1:12" x14ac:dyDescent="0.3">
      <c r="A108" s="16" t="s">
        <v>23</v>
      </c>
      <c r="B108" s="16" t="s">
        <v>10</v>
      </c>
      <c r="C108" s="31">
        <v>46245</v>
      </c>
      <c r="D108" s="17">
        <v>52872.2</v>
      </c>
      <c r="E108" s="17">
        <v>0</v>
      </c>
      <c r="F108" s="17">
        <v>13990.3</v>
      </c>
      <c r="G108" s="17">
        <v>0</v>
      </c>
      <c r="H108" s="17">
        <f t="shared" si="3"/>
        <v>38881.899999999994</v>
      </c>
      <c r="I108" s="17">
        <v>38829.129999999997</v>
      </c>
      <c r="J108" s="17">
        <f t="shared" si="4"/>
        <v>-52.769999999996799</v>
      </c>
      <c r="K108" s="23">
        <f t="shared" si="5"/>
        <v>-3.7718991015201105E-3</v>
      </c>
      <c r="L108" s="17">
        <f>SUMIFS('Registros manuales'!$D$5:$D$104,'Registros manuales'!$A$5:$A$104,A108,'Registros manuales'!$B$5:$B$104,B108,'Registros manuales'!$C$5:$C$104,C108)</f>
        <v>0</v>
      </c>
    </row>
    <row r="109" spans="1:12" x14ac:dyDescent="0.3">
      <c r="A109" s="16" t="s">
        <v>23</v>
      </c>
      <c r="B109" s="16" t="s">
        <v>10</v>
      </c>
      <c r="C109" s="31">
        <v>46246</v>
      </c>
      <c r="D109" s="17">
        <v>38829.129999999997</v>
      </c>
      <c r="E109" s="17">
        <v>29985</v>
      </c>
      <c r="F109" s="17">
        <v>13534.54</v>
      </c>
      <c r="G109" s="17">
        <v>0</v>
      </c>
      <c r="H109" s="17">
        <f t="shared" si="3"/>
        <v>55279.590000000004</v>
      </c>
      <c r="I109" s="17">
        <v>54915.63</v>
      </c>
      <c r="J109" s="17">
        <f t="shared" si="4"/>
        <v>-363.9600000000064</v>
      </c>
      <c r="K109" s="23">
        <f t="shared" si="5"/>
        <v>-2.6891198370983155E-2</v>
      </c>
      <c r="L109" s="17">
        <f>SUMIFS('Registros manuales'!$D$5:$D$104,'Registros manuales'!$A$5:$A$104,A109,'Registros manuales'!$B$5:$B$104,B109,'Registros manuales'!$C$5:$C$104,C109)</f>
        <v>0</v>
      </c>
    </row>
    <row r="110" spans="1:12" x14ac:dyDescent="0.3">
      <c r="A110" s="16" t="s">
        <v>23</v>
      </c>
      <c r="B110" s="16" t="s">
        <v>10</v>
      </c>
      <c r="C110" s="31">
        <v>46247</v>
      </c>
      <c r="D110" s="17">
        <v>54915.63</v>
      </c>
      <c r="E110" s="17">
        <v>0</v>
      </c>
      <c r="F110" s="17">
        <v>15658.05</v>
      </c>
      <c r="G110" s="17">
        <v>0</v>
      </c>
      <c r="H110" s="17">
        <f t="shared" si="3"/>
        <v>39257.58</v>
      </c>
      <c r="I110" s="17">
        <v>38819.24</v>
      </c>
      <c r="J110" s="17">
        <f t="shared" si="4"/>
        <v>-438.34000000000378</v>
      </c>
      <c r="K110" s="23">
        <f t="shared" si="5"/>
        <v>-2.7994545936435494E-2</v>
      </c>
      <c r="L110" s="17">
        <f>SUMIFS('Registros manuales'!$D$5:$D$104,'Registros manuales'!$A$5:$A$104,A110,'Registros manuales'!$B$5:$B$104,B110,'Registros manuales'!$C$5:$C$104,C110)</f>
        <v>0</v>
      </c>
    </row>
    <row r="111" spans="1:12" x14ac:dyDescent="0.3">
      <c r="A111" s="16" t="s">
        <v>23</v>
      </c>
      <c r="B111" s="16" t="s">
        <v>10</v>
      </c>
      <c r="C111" s="31">
        <v>46248</v>
      </c>
      <c r="D111" s="17">
        <v>38819.24</v>
      </c>
      <c r="E111" s="17">
        <v>0</v>
      </c>
      <c r="F111" s="17">
        <v>15124.19</v>
      </c>
      <c r="G111" s="17">
        <v>0</v>
      </c>
      <c r="H111" s="17">
        <f t="shared" si="3"/>
        <v>23695.049999999996</v>
      </c>
      <c r="I111" s="17">
        <v>23451.35</v>
      </c>
      <c r="J111" s="17">
        <f t="shared" si="4"/>
        <v>-243.69999999999709</v>
      </c>
      <c r="K111" s="23">
        <f t="shared" si="5"/>
        <v>-1.6113259619192636E-2</v>
      </c>
      <c r="L111" s="17">
        <f>SUMIFS('Registros manuales'!$D$5:$D$104,'Registros manuales'!$A$5:$A$104,A111,'Registros manuales'!$B$5:$B$104,B111,'Registros manuales'!$C$5:$C$104,C111)</f>
        <v>0</v>
      </c>
    </row>
    <row r="112" spans="1:12" x14ac:dyDescent="0.3">
      <c r="A112" s="16" t="s">
        <v>23</v>
      </c>
      <c r="B112" s="16" t="s">
        <v>10</v>
      </c>
      <c r="C112" s="31">
        <v>46249</v>
      </c>
      <c r="D112" s="17">
        <v>23451.35</v>
      </c>
      <c r="E112" s="17">
        <v>29860</v>
      </c>
      <c r="F112" s="17">
        <v>18122.41</v>
      </c>
      <c r="G112" s="17">
        <v>0</v>
      </c>
      <c r="H112" s="17">
        <f t="shared" si="3"/>
        <v>35188.94</v>
      </c>
      <c r="I112" s="17">
        <v>36167.089999999997</v>
      </c>
      <c r="J112" s="17">
        <f t="shared" si="4"/>
        <v>978.14999999999418</v>
      </c>
      <c r="K112" s="23">
        <f t="shared" si="5"/>
        <v>5.3974609337278774E-2</v>
      </c>
      <c r="L112" s="17">
        <f>SUMIFS('Registros manuales'!$D$5:$D$104,'Registros manuales'!$A$5:$A$104,A112,'Registros manuales'!$B$5:$B$104,B112,'Registros manuales'!$C$5:$C$104,C112)</f>
        <v>0</v>
      </c>
    </row>
    <row r="113" spans="1:12" x14ac:dyDescent="0.3">
      <c r="A113" s="16" t="s">
        <v>23</v>
      </c>
      <c r="B113" s="16" t="s">
        <v>10</v>
      </c>
      <c r="C113" s="31">
        <v>46250</v>
      </c>
      <c r="D113" s="17">
        <v>36167.089999999997</v>
      </c>
      <c r="E113" s="17">
        <v>0</v>
      </c>
      <c r="F113" s="17">
        <v>18373.349999999999</v>
      </c>
      <c r="G113" s="17">
        <v>0</v>
      </c>
      <c r="H113" s="17">
        <f t="shared" si="3"/>
        <v>17793.739999999998</v>
      </c>
      <c r="I113" s="17">
        <v>16911.41</v>
      </c>
      <c r="J113" s="17">
        <f t="shared" si="4"/>
        <v>-882.32999999999811</v>
      </c>
      <c r="K113" s="23">
        <f t="shared" si="5"/>
        <v>-4.8022271387634707E-2</v>
      </c>
      <c r="L113" s="17">
        <f>SUMIFS('Registros manuales'!$D$5:$D$104,'Registros manuales'!$A$5:$A$104,A113,'Registros manuales'!$B$5:$B$104,B113,'Registros manuales'!$C$5:$C$104,C113)</f>
        <v>0</v>
      </c>
    </row>
    <row r="114" spans="1:12" x14ac:dyDescent="0.3">
      <c r="A114" s="16" t="s">
        <v>23</v>
      </c>
      <c r="B114" s="16" t="s">
        <v>10</v>
      </c>
      <c r="C114" s="31">
        <v>46251</v>
      </c>
      <c r="D114" s="17">
        <v>16911.41</v>
      </c>
      <c r="E114" s="17">
        <v>59539</v>
      </c>
      <c r="F114" s="17">
        <v>14977.3</v>
      </c>
      <c r="G114" s="17">
        <v>0</v>
      </c>
      <c r="H114" s="17">
        <f t="shared" si="3"/>
        <v>61473.11</v>
      </c>
      <c r="I114" s="17">
        <v>62065.11</v>
      </c>
      <c r="J114" s="17">
        <f t="shared" si="4"/>
        <v>592</v>
      </c>
      <c r="K114" s="23">
        <f t="shared" si="5"/>
        <v>3.9526483411562834E-2</v>
      </c>
      <c r="L114" s="17">
        <f>SUMIFS('Registros manuales'!$D$5:$D$104,'Registros manuales'!$A$5:$A$104,A114,'Registros manuales'!$B$5:$B$104,B114,'Registros manuales'!$C$5:$C$104,C114)</f>
        <v>0</v>
      </c>
    </row>
    <row r="115" spans="1:12" x14ac:dyDescent="0.3">
      <c r="A115" s="16" t="s">
        <v>23</v>
      </c>
      <c r="B115" s="16" t="s">
        <v>10</v>
      </c>
      <c r="C115" s="31">
        <v>46252</v>
      </c>
      <c r="D115" s="17">
        <v>62065.11</v>
      </c>
      <c r="E115" s="17">
        <v>0</v>
      </c>
      <c r="F115" s="17">
        <v>14129.84</v>
      </c>
      <c r="G115" s="17">
        <v>0</v>
      </c>
      <c r="H115" s="17">
        <f t="shared" si="3"/>
        <v>47935.270000000004</v>
      </c>
      <c r="I115" s="17">
        <v>47249.25</v>
      </c>
      <c r="J115" s="17">
        <f t="shared" si="4"/>
        <v>-686.02000000000407</v>
      </c>
      <c r="K115" s="23">
        <f t="shared" si="5"/>
        <v>-4.8551151322308257E-2</v>
      </c>
      <c r="L115" s="17">
        <f>SUMIFS('Registros manuales'!$D$5:$D$104,'Registros manuales'!$A$5:$A$104,A115,'Registros manuales'!$B$5:$B$104,B115,'Registros manuales'!$C$5:$C$104,C115)</f>
        <v>0</v>
      </c>
    </row>
    <row r="116" spans="1:12" x14ac:dyDescent="0.3">
      <c r="A116" s="16" t="s">
        <v>23</v>
      </c>
      <c r="B116" s="16" t="s">
        <v>10</v>
      </c>
      <c r="C116" s="31">
        <v>46253</v>
      </c>
      <c r="D116" s="17">
        <v>47249.25</v>
      </c>
      <c r="E116" s="17">
        <v>0</v>
      </c>
      <c r="F116" s="17">
        <v>12528.32</v>
      </c>
      <c r="G116" s="17">
        <v>0</v>
      </c>
      <c r="H116" s="17">
        <f t="shared" si="3"/>
        <v>34720.93</v>
      </c>
      <c r="I116" s="17">
        <v>65455.56</v>
      </c>
      <c r="J116" s="17">
        <f t="shared" si="4"/>
        <v>30734.629999999997</v>
      </c>
      <c r="K116" s="23">
        <f t="shared" si="5"/>
        <v>2.4532124019820691</v>
      </c>
      <c r="L116" s="17">
        <f>SUMIFS('Registros manuales'!$D$5:$D$104,'Registros manuales'!$A$5:$A$104,A116,'Registros manuales'!$B$5:$B$104,B116,'Registros manuales'!$C$5:$C$104,C116)</f>
        <v>0</v>
      </c>
    </row>
    <row r="117" spans="1:12" x14ac:dyDescent="0.3">
      <c r="A117" s="16" t="s">
        <v>23</v>
      </c>
      <c r="B117" s="16" t="s">
        <v>10</v>
      </c>
      <c r="C117" s="31">
        <v>46254</v>
      </c>
      <c r="D117" s="17">
        <v>65455.56</v>
      </c>
      <c r="E117" s="17">
        <v>30019</v>
      </c>
      <c r="F117" s="17">
        <v>13585.43</v>
      </c>
      <c r="G117" s="17">
        <v>0</v>
      </c>
      <c r="H117" s="17">
        <f t="shared" si="3"/>
        <v>81889.13</v>
      </c>
      <c r="I117" s="17">
        <v>51772.31</v>
      </c>
      <c r="J117" s="17">
        <f t="shared" si="4"/>
        <v>-30116.820000000007</v>
      </c>
      <c r="K117" s="23">
        <f t="shared" si="5"/>
        <v>-2.216847019196301</v>
      </c>
      <c r="L117" s="17">
        <f>SUMIFS('Registros manuales'!$D$5:$D$104,'Registros manuales'!$A$5:$A$104,A117,'Registros manuales'!$B$5:$B$104,B117,'Registros manuales'!$C$5:$C$104,C117)</f>
        <v>0</v>
      </c>
    </row>
    <row r="118" spans="1:12" x14ac:dyDescent="0.3">
      <c r="A118" s="16" t="s">
        <v>23</v>
      </c>
      <c r="B118" s="16" t="s">
        <v>10</v>
      </c>
      <c r="C118" s="31">
        <v>46255</v>
      </c>
      <c r="D118" s="17">
        <v>51772.31</v>
      </c>
      <c r="E118" s="17">
        <v>0</v>
      </c>
      <c r="F118" s="17">
        <v>15445.95</v>
      </c>
      <c r="G118" s="17">
        <v>0</v>
      </c>
      <c r="H118" s="17">
        <f t="shared" si="3"/>
        <v>36326.36</v>
      </c>
      <c r="I118" s="17">
        <v>35501.33</v>
      </c>
      <c r="J118" s="17">
        <f t="shared" si="4"/>
        <v>-825.02999999999884</v>
      </c>
      <c r="K118" s="23">
        <f t="shared" si="5"/>
        <v>-5.3414001728608392E-2</v>
      </c>
      <c r="L118" s="17">
        <f>SUMIFS('Registros manuales'!$D$5:$D$104,'Registros manuales'!$A$5:$A$104,A118,'Registros manuales'!$B$5:$B$104,B118,'Registros manuales'!$C$5:$C$104,C118)</f>
        <v>0</v>
      </c>
    </row>
    <row r="119" spans="1:12" x14ac:dyDescent="0.3">
      <c r="A119" s="16" t="s">
        <v>23</v>
      </c>
      <c r="B119" s="16" t="s">
        <v>10</v>
      </c>
      <c r="C119" s="31">
        <v>46256</v>
      </c>
      <c r="D119" s="17">
        <v>35501.33</v>
      </c>
      <c r="E119" s="17">
        <v>29888</v>
      </c>
      <c r="F119" s="17">
        <v>16908.07</v>
      </c>
      <c r="G119" s="17">
        <v>0</v>
      </c>
      <c r="H119" s="17">
        <f t="shared" si="3"/>
        <v>48481.26</v>
      </c>
      <c r="I119" s="17">
        <v>48279.66</v>
      </c>
      <c r="J119" s="17">
        <f t="shared" si="4"/>
        <v>-201.59999999999854</v>
      </c>
      <c r="K119" s="23">
        <f t="shared" si="5"/>
        <v>-1.1923300530456673E-2</v>
      </c>
      <c r="L119" s="17">
        <f>SUMIFS('Registros manuales'!$D$5:$D$104,'Registros manuales'!$A$5:$A$104,A119,'Registros manuales'!$B$5:$B$104,B119,'Registros manuales'!$C$5:$C$104,C119)</f>
        <v>0</v>
      </c>
    </row>
    <row r="120" spans="1:12" x14ac:dyDescent="0.3">
      <c r="A120" s="16" t="s">
        <v>23</v>
      </c>
      <c r="B120" s="16" t="s">
        <v>10</v>
      </c>
      <c r="C120" s="31">
        <v>46257</v>
      </c>
      <c r="D120" s="17">
        <v>48279.66</v>
      </c>
      <c r="E120" s="17">
        <v>0</v>
      </c>
      <c r="F120" s="17">
        <v>16899.98</v>
      </c>
      <c r="G120" s="17">
        <v>0</v>
      </c>
      <c r="H120" s="17">
        <f t="shared" si="3"/>
        <v>31379.680000000004</v>
      </c>
      <c r="I120" s="17">
        <v>31001.66</v>
      </c>
      <c r="J120" s="17">
        <f t="shared" si="4"/>
        <v>-378.02000000000407</v>
      </c>
      <c r="K120" s="23">
        <f t="shared" si="5"/>
        <v>-2.2368073808371611E-2</v>
      </c>
      <c r="L120" s="17">
        <f>SUMIFS('Registros manuales'!$D$5:$D$104,'Registros manuales'!$A$5:$A$104,A120,'Registros manuales'!$B$5:$B$104,B120,'Registros manuales'!$C$5:$C$104,C120)</f>
        <v>0</v>
      </c>
    </row>
    <row r="121" spans="1:12" x14ac:dyDescent="0.3">
      <c r="A121" s="16" t="s">
        <v>23</v>
      </c>
      <c r="B121" s="16" t="s">
        <v>10</v>
      </c>
      <c r="C121" s="31">
        <v>46258</v>
      </c>
      <c r="D121" s="17">
        <v>31001.66</v>
      </c>
      <c r="E121" s="17">
        <v>59964</v>
      </c>
      <c r="F121" s="17">
        <v>13585.21</v>
      </c>
      <c r="G121" s="17">
        <v>0</v>
      </c>
      <c r="H121" s="17">
        <f t="shared" si="3"/>
        <v>77380.450000000012</v>
      </c>
      <c r="I121" s="17">
        <v>78260.460000000006</v>
      </c>
      <c r="J121" s="17">
        <f t="shared" si="4"/>
        <v>880.00999999999476</v>
      </c>
      <c r="K121" s="23">
        <f t="shared" si="5"/>
        <v>6.4777062702747676E-2</v>
      </c>
      <c r="L121" s="17">
        <f>SUMIFS('Registros manuales'!$D$5:$D$104,'Registros manuales'!$A$5:$A$104,A121,'Registros manuales'!$B$5:$B$104,B121,'Registros manuales'!$C$5:$C$104,C121)</f>
        <v>0</v>
      </c>
    </row>
    <row r="122" spans="1:12" x14ac:dyDescent="0.3">
      <c r="A122" s="16" t="s">
        <v>23</v>
      </c>
      <c r="B122" s="16" t="s">
        <v>10</v>
      </c>
      <c r="C122" s="31">
        <v>46259</v>
      </c>
      <c r="D122" s="17">
        <v>78260.460000000006</v>
      </c>
      <c r="E122" s="17">
        <v>0</v>
      </c>
      <c r="F122" s="17">
        <v>13803.15</v>
      </c>
      <c r="G122" s="17">
        <v>0</v>
      </c>
      <c r="H122" s="17">
        <f t="shared" si="3"/>
        <v>64457.310000000005</v>
      </c>
      <c r="I122" s="17">
        <v>64201.95</v>
      </c>
      <c r="J122" s="17">
        <f t="shared" si="4"/>
        <v>-255.36000000000786</v>
      </c>
      <c r="K122" s="23">
        <f t="shared" si="5"/>
        <v>-1.8500124971474474E-2</v>
      </c>
      <c r="L122" s="17">
        <f>SUMIFS('Registros manuales'!$D$5:$D$104,'Registros manuales'!$A$5:$A$104,A122,'Registros manuales'!$B$5:$B$104,B122,'Registros manuales'!$C$5:$C$104,C122)</f>
        <v>0</v>
      </c>
    </row>
    <row r="123" spans="1:12" x14ac:dyDescent="0.3">
      <c r="A123" s="16" t="s">
        <v>23</v>
      </c>
      <c r="B123" s="16" t="s">
        <v>10</v>
      </c>
      <c r="C123" s="31">
        <v>46260</v>
      </c>
      <c r="D123" s="17">
        <v>64201.95</v>
      </c>
      <c r="E123" s="17">
        <v>29794</v>
      </c>
      <c r="F123" s="17">
        <v>14200.8</v>
      </c>
      <c r="G123" s="17">
        <v>0</v>
      </c>
      <c r="H123" s="17">
        <f t="shared" si="3"/>
        <v>79795.149999999994</v>
      </c>
      <c r="I123" s="17">
        <v>80085.509999999995</v>
      </c>
      <c r="J123" s="17">
        <f t="shared" si="4"/>
        <v>290.36000000000058</v>
      </c>
      <c r="K123" s="23">
        <f t="shared" si="5"/>
        <v>2.0446735395189045E-2</v>
      </c>
      <c r="L123" s="17">
        <f>SUMIFS('Registros manuales'!$D$5:$D$104,'Registros manuales'!$A$5:$A$104,A123,'Registros manuales'!$B$5:$B$104,B123,'Registros manuales'!$C$5:$C$104,C123)</f>
        <v>0</v>
      </c>
    </row>
    <row r="124" spans="1:12" x14ac:dyDescent="0.3">
      <c r="A124" s="16" t="s">
        <v>23</v>
      </c>
      <c r="B124" s="16" t="s">
        <v>10</v>
      </c>
      <c r="C124" s="31">
        <v>46261</v>
      </c>
      <c r="D124" s="17">
        <v>80085.509999999995</v>
      </c>
      <c r="E124" s="17">
        <v>0</v>
      </c>
      <c r="F124" s="17">
        <v>12909.81</v>
      </c>
      <c r="G124" s="17">
        <v>0</v>
      </c>
      <c r="H124" s="17">
        <f t="shared" si="3"/>
        <v>67175.7</v>
      </c>
      <c r="I124" s="17">
        <v>66835.23</v>
      </c>
      <c r="J124" s="17">
        <f t="shared" si="4"/>
        <v>-340.47000000000116</v>
      </c>
      <c r="K124" s="23">
        <f t="shared" si="5"/>
        <v>-2.6372967533991685E-2</v>
      </c>
      <c r="L124" s="17">
        <f>SUMIFS('Registros manuales'!$D$5:$D$104,'Registros manuales'!$A$5:$A$104,A124,'Registros manuales'!$B$5:$B$104,B124,'Registros manuales'!$C$5:$C$104,C124)</f>
        <v>0</v>
      </c>
    </row>
    <row r="125" spans="1:12" x14ac:dyDescent="0.3">
      <c r="A125" s="16" t="s">
        <v>23</v>
      </c>
      <c r="B125" s="16" t="s">
        <v>10</v>
      </c>
      <c r="C125" s="31">
        <v>46262</v>
      </c>
      <c r="D125" s="17">
        <v>66835.23</v>
      </c>
      <c r="E125" s="17">
        <v>0</v>
      </c>
      <c r="F125" s="17">
        <v>15842.23</v>
      </c>
      <c r="G125" s="17">
        <v>0</v>
      </c>
      <c r="H125" s="17">
        <f t="shared" si="3"/>
        <v>50993</v>
      </c>
      <c r="I125" s="17">
        <v>50353.49</v>
      </c>
      <c r="J125" s="17">
        <f t="shared" si="4"/>
        <v>-639.51000000000204</v>
      </c>
      <c r="K125" s="23">
        <f t="shared" si="5"/>
        <v>-4.0367423020622857E-2</v>
      </c>
      <c r="L125" s="17">
        <f>SUMIFS('Registros manuales'!$D$5:$D$104,'Registros manuales'!$A$5:$A$104,A125,'Registros manuales'!$B$5:$B$104,B125,'Registros manuales'!$C$5:$C$104,C125)</f>
        <v>0</v>
      </c>
    </row>
    <row r="126" spans="1:12" x14ac:dyDescent="0.3">
      <c r="A126" s="16" t="s">
        <v>23</v>
      </c>
      <c r="B126" s="16" t="s">
        <v>10</v>
      </c>
      <c r="C126" s="31">
        <v>46263</v>
      </c>
      <c r="D126" s="17">
        <v>50353.49</v>
      </c>
      <c r="E126" s="17">
        <v>30011</v>
      </c>
      <c r="F126" s="17">
        <v>18742.669999999998</v>
      </c>
      <c r="G126" s="17">
        <v>0</v>
      </c>
      <c r="H126" s="17">
        <f t="shared" si="3"/>
        <v>61621.819999999992</v>
      </c>
      <c r="I126" s="17">
        <v>61545.67</v>
      </c>
      <c r="J126" s="17">
        <f t="shared" si="4"/>
        <v>-76.149999999994179</v>
      </c>
      <c r="K126" s="23">
        <f t="shared" si="5"/>
        <v>-4.0629216648425323E-3</v>
      </c>
      <c r="L126" s="17">
        <f>SUMIFS('Registros manuales'!$D$5:$D$104,'Registros manuales'!$A$5:$A$104,A126,'Registros manuales'!$B$5:$B$104,B126,'Registros manuales'!$C$5:$C$104,C126)</f>
        <v>0</v>
      </c>
    </row>
    <row r="127" spans="1:12" x14ac:dyDescent="0.3">
      <c r="A127" s="16" t="s">
        <v>23</v>
      </c>
      <c r="B127" s="16" t="s">
        <v>10</v>
      </c>
      <c r="C127" s="31">
        <v>46264</v>
      </c>
      <c r="D127" s="17">
        <v>61545.67</v>
      </c>
      <c r="E127" s="17">
        <v>0</v>
      </c>
      <c r="F127" s="17">
        <v>14844.77</v>
      </c>
      <c r="G127" s="17">
        <v>0</v>
      </c>
      <c r="H127" s="17">
        <f t="shared" si="3"/>
        <v>46700.899999999994</v>
      </c>
      <c r="I127" s="17">
        <v>46257.75</v>
      </c>
      <c r="J127" s="17">
        <f t="shared" si="4"/>
        <v>-443.14999999999418</v>
      </c>
      <c r="K127" s="23">
        <f t="shared" si="5"/>
        <v>-2.9852264467552826E-2</v>
      </c>
      <c r="L127" s="17">
        <f>SUMIFS('Registros manuales'!$D$5:$D$104,'Registros manuales'!$A$5:$A$104,A127,'Registros manuales'!$B$5:$B$104,B127,'Registros manuales'!$C$5:$C$104,C127)</f>
        <v>0</v>
      </c>
    </row>
    <row r="128" spans="1:12" x14ac:dyDescent="0.3">
      <c r="A128" s="16" t="s">
        <v>23</v>
      </c>
      <c r="B128" s="16" t="s">
        <v>10</v>
      </c>
      <c r="C128" s="31">
        <v>46265</v>
      </c>
      <c r="D128" s="17">
        <v>46257.75</v>
      </c>
      <c r="E128" s="17">
        <v>29889</v>
      </c>
      <c r="F128" s="17">
        <v>15940.37</v>
      </c>
      <c r="G128" s="17">
        <v>0</v>
      </c>
      <c r="H128" s="17">
        <f t="shared" si="3"/>
        <v>60206.38</v>
      </c>
      <c r="I128" s="17">
        <v>60042.66</v>
      </c>
      <c r="J128" s="17">
        <f t="shared" si="4"/>
        <v>-163.71999999999389</v>
      </c>
      <c r="K128" s="23">
        <f t="shared" si="5"/>
        <v>-1.0270777905405827E-2</v>
      </c>
      <c r="L128" s="17">
        <f>SUMIFS('Registros manuales'!$D$5:$D$104,'Registros manuales'!$A$5:$A$104,A128,'Registros manuales'!$B$5:$B$104,B128,'Registros manuales'!$C$5:$C$104,C128)</f>
        <v>0</v>
      </c>
    </row>
    <row r="129" spans="1:12" x14ac:dyDescent="0.3">
      <c r="A129" s="16" t="s">
        <v>23</v>
      </c>
      <c r="B129" s="16" t="s">
        <v>11</v>
      </c>
      <c r="C129" s="31">
        <v>46235</v>
      </c>
      <c r="D129" s="17">
        <v>26497.19</v>
      </c>
      <c r="E129" s="17">
        <v>0</v>
      </c>
      <c r="F129" s="17">
        <v>1498.37</v>
      </c>
      <c r="G129" s="17">
        <v>0</v>
      </c>
      <c r="H129" s="17">
        <f t="shared" si="3"/>
        <v>24998.82</v>
      </c>
      <c r="I129" s="17">
        <v>24958.42</v>
      </c>
      <c r="J129" s="17">
        <f t="shared" si="4"/>
        <v>-40.400000000001455</v>
      </c>
      <c r="K129" s="23">
        <f t="shared" si="5"/>
        <v>-2.6962632727564925E-2</v>
      </c>
      <c r="L129" s="17">
        <f>SUMIFS('Registros manuales'!$D$5:$D$104,'Registros manuales'!$A$5:$A$104,A129,'Registros manuales'!$B$5:$B$104,B129,'Registros manuales'!$C$5:$C$104,C129)</f>
        <v>0</v>
      </c>
    </row>
    <row r="130" spans="1:12" x14ac:dyDescent="0.3">
      <c r="A130" s="16" t="s">
        <v>23</v>
      </c>
      <c r="B130" s="16" t="s">
        <v>11</v>
      </c>
      <c r="C130" s="31">
        <v>46236</v>
      </c>
      <c r="D130" s="17">
        <v>24958.42</v>
      </c>
      <c r="E130" s="17">
        <v>0</v>
      </c>
      <c r="F130" s="17">
        <v>1652.17</v>
      </c>
      <c r="G130" s="17">
        <v>0</v>
      </c>
      <c r="H130" s="17">
        <f t="shared" si="3"/>
        <v>23306.25</v>
      </c>
      <c r="I130" s="17">
        <v>23264.959999999999</v>
      </c>
      <c r="J130" s="17">
        <f t="shared" si="4"/>
        <v>-41.290000000000873</v>
      </c>
      <c r="K130" s="23">
        <f t="shared" si="5"/>
        <v>-2.4991374979572847E-2</v>
      </c>
      <c r="L130" s="17">
        <f>SUMIFS('Registros manuales'!$D$5:$D$104,'Registros manuales'!$A$5:$A$104,A130,'Registros manuales'!$B$5:$B$104,B130,'Registros manuales'!$C$5:$C$104,C130)</f>
        <v>0</v>
      </c>
    </row>
    <row r="131" spans="1:12" x14ac:dyDescent="0.3">
      <c r="A131" s="16" t="s">
        <v>23</v>
      </c>
      <c r="B131" s="16" t="s">
        <v>11</v>
      </c>
      <c r="C131" s="31">
        <v>46237</v>
      </c>
      <c r="D131" s="17">
        <v>23264.959999999999</v>
      </c>
      <c r="E131" s="17">
        <v>0</v>
      </c>
      <c r="F131" s="17">
        <v>1620.35</v>
      </c>
      <c r="G131" s="17">
        <v>0</v>
      </c>
      <c r="H131" s="17">
        <f t="shared" si="3"/>
        <v>21644.61</v>
      </c>
      <c r="I131" s="17">
        <v>21607.34</v>
      </c>
      <c r="J131" s="17">
        <f t="shared" si="4"/>
        <v>-37.270000000000437</v>
      </c>
      <c r="K131" s="23">
        <f t="shared" si="5"/>
        <v>-2.3001203443700706E-2</v>
      </c>
      <c r="L131" s="17">
        <f>SUMIFS('Registros manuales'!$D$5:$D$104,'Registros manuales'!$A$5:$A$104,A131,'Registros manuales'!$B$5:$B$104,B131,'Registros manuales'!$C$5:$C$104,C131)</f>
        <v>0</v>
      </c>
    </row>
    <row r="132" spans="1:12" x14ac:dyDescent="0.3">
      <c r="A132" s="16" t="s">
        <v>23</v>
      </c>
      <c r="B132" s="16" t="s">
        <v>11</v>
      </c>
      <c r="C132" s="31">
        <v>46238</v>
      </c>
      <c r="D132" s="17">
        <v>21607.34</v>
      </c>
      <c r="E132" s="17">
        <v>0</v>
      </c>
      <c r="F132" s="17">
        <v>1581.32</v>
      </c>
      <c r="G132" s="17">
        <v>0</v>
      </c>
      <c r="H132" s="17">
        <f t="shared" si="3"/>
        <v>20026.02</v>
      </c>
      <c r="I132" s="17">
        <v>19988.169999999998</v>
      </c>
      <c r="J132" s="17">
        <f t="shared" si="4"/>
        <v>-37.850000000002183</v>
      </c>
      <c r="K132" s="23">
        <f t="shared" si="5"/>
        <v>-2.3935699289202809E-2</v>
      </c>
      <c r="L132" s="17">
        <f>SUMIFS('Registros manuales'!$D$5:$D$104,'Registros manuales'!$A$5:$A$104,A132,'Registros manuales'!$B$5:$B$104,B132,'Registros manuales'!$C$5:$C$104,C132)</f>
        <v>0</v>
      </c>
    </row>
    <row r="133" spans="1:12" x14ac:dyDescent="0.3">
      <c r="A133" s="16" t="s">
        <v>23</v>
      </c>
      <c r="B133" s="16" t="s">
        <v>11</v>
      </c>
      <c r="C133" s="31">
        <v>46239</v>
      </c>
      <c r="D133" s="17">
        <v>19988.169999999998</v>
      </c>
      <c r="E133" s="17">
        <v>0</v>
      </c>
      <c r="F133" s="17">
        <v>1884.86</v>
      </c>
      <c r="G133" s="17">
        <v>0</v>
      </c>
      <c r="H133" s="17">
        <f t="shared" ref="H133:H196" si="6">D133+E133+L133-F133+G133</f>
        <v>18103.309999999998</v>
      </c>
      <c r="I133" s="17">
        <v>18063.240000000002</v>
      </c>
      <c r="J133" s="17">
        <f t="shared" ref="J133:J196" si="7">I133-H133</f>
        <v>-40.069999999996071</v>
      </c>
      <c r="K133" s="23">
        <f t="shared" ref="K133:K196" si="8">IF(F133=0,0,J133/F133)</f>
        <v>-2.125887333807077E-2</v>
      </c>
      <c r="L133" s="17">
        <f>SUMIFS('Registros manuales'!$D$5:$D$104,'Registros manuales'!$A$5:$A$104,A133,'Registros manuales'!$B$5:$B$104,B133,'Registros manuales'!$C$5:$C$104,C133)</f>
        <v>0</v>
      </c>
    </row>
    <row r="134" spans="1:12" x14ac:dyDescent="0.3">
      <c r="A134" s="16" t="s">
        <v>23</v>
      </c>
      <c r="B134" s="16" t="s">
        <v>11</v>
      </c>
      <c r="C134" s="31">
        <v>46240</v>
      </c>
      <c r="D134" s="17">
        <v>18063.240000000002</v>
      </c>
      <c r="E134" s="17">
        <v>0</v>
      </c>
      <c r="F134" s="17">
        <v>1361.39</v>
      </c>
      <c r="G134" s="17">
        <v>0</v>
      </c>
      <c r="H134" s="17">
        <f t="shared" si="6"/>
        <v>16701.850000000002</v>
      </c>
      <c r="I134" s="17">
        <v>16674.689999999999</v>
      </c>
      <c r="J134" s="17">
        <f t="shared" si="7"/>
        <v>-27.160000000003492</v>
      </c>
      <c r="K134" s="23">
        <f t="shared" si="8"/>
        <v>-1.9950197959441078E-2</v>
      </c>
      <c r="L134" s="17">
        <f>SUMIFS('Registros manuales'!$D$5:$D$104,'Registros manuales'!$A$5:$A$104,A134,'Registros manuales'!$B$5:$B$104,B134,'Registros manuales'!$C$5:$C$104,C134)</f>
        <v>0</v>
      </c>
    </row>
    <row r="135" spans="1:12" x14ac:dyDescent="0.3">
      <c r="A135" s="16" t="s">
        <v>23</v>
      </c>
      <c r="B135" s="16" t="s">
        <v>11</v>
      </c>
      <c r="C135" s="31">
        <v>46241</v>
      </c>
      <c r="D135" s="17">
        <v>16674.689999999999</v>
      </c>
      <c r="E135" s="17">
        <v>0</v>
      </c>
      <c r="F135" s="17">
        <v>1572.38</v>
      </c>
      <c r="G135" s="17">
        <v>0</v>
      </c>
      <c r="H135" s="17">
        <f t="shared" si="6"/>
        <v>15102.309999999998</v>
      </c>
      <c r="I135" s="17">
        <v>15071.2</v>
      </c>
      <c r="J135" s="17">
        <f t="shared" si="7"/>
        <v>-31.109999999996944</v>
      </c>
      <c r="K135" s="23">
        <f t="shared" si="8"/>
        <v>-1.9785293631308553E-2</v>
      </c>
      <c r="L135" s="17">
        <f>SUMIFS('Registros manuales'!$D$5:$D$104,'Registros manuales'!$A$5:$A$104,A135,'Registros manuales'!$B$5:$B$104,B135,'Registros manuales'!$C$5:$C$104,C135)</f>
        <v>0</v>
      </c>
    </row>
    <row r="136" spans="1:12" x14ac:dyDescent="0.3">
      <c r="A136" s="16" t="s">
        <v>23</v>
      </c>
      <c r="B136" s="16" t="s">
        <v>11</v>
      </c>
      <c r="C136" s="31">
        <v>46242</v>
      </c>
      <c r="D136" s="17">
        <v>15071.2</v>
      </c>
      <c r="E136" s="17">
        <v>0</v>
      </c>
      <c r="F136" s="17">
        <v>2069.0100000000002</v>
      </c>
      <c r="G136" s="17">
        <v>0</v>
      </c>
      <c r="H136" s="17">
        <f t="shared" si="6"/>
        <v>13002.19</v>
      </c>
      <c r="I136" s="17">
        <v>12963.46</v>
      </c>
      <c r="J136" s="17">
        <f t="shared" si="7"/>
        <v>-38.730000000001382</v>
      </c>
      <c r="K136" s="23">
        <f t="shared" si="8"/>
        <v>-1.8719097539403567E-2</v>
      </c>
      <c r="L136" s="17">
        <f>SUMIFS('Registros manuales'!$D$5:$D$104,'Registros manuales'!$A$5:$A$104,A136,'Registros manuales'!$B$5:$B$104,B136,'Registros manuales'!$C$5:$C$104,C136)</f>
        <v>0</v>
      </c>
    </row>
    <row r="137" spans="1:12" x14ac:dyDescent="0.3">
      <c r="A137" s="16" t="s">
        <v>23</v>
      </c>
      <c r="B137" s="16" t="s">
        <v>11</v>
      </c>
      <c r="C137" s="31">
        <v>46243</v>
      </c>
      <c r="D137" s="17">
        <v>12963.46</v>
      </c>
      <c r="E137" s="17">
        <v>0</v>
      </c>
      <c r="F137" s="17">
        <v>1700.75</v>
      </c>
      <c r="G137" s="17">
        <v>0</v>
      </c>
      <c r="H137" s="17">
        <f t="shared" si="6"/>
        <v>11262.71</v>
      </c>
      <c r="I137" s="17">
        <v>11233.58</v>
      </c>
      <c r="J137" s="17">
        <f t="shared" si="7"/>
        <v>-29.1299999999992</v>
      </c>
      <c r="K137" s="23">
        <f t="shared" si="8"/>
        <v>-1.7127737762751255E-2</v>
      </c>
      <c r="L137" s="17">
        <f>SUMIFS('Registros manuales'!$D$5:$D$104,'Registros manuales'!$A$5:$A$104,A137,'Registros manuales'!$B$5:$B$104,B137,'Registros manuales'!$C$5:$C$104,C137)</f>
        <v>0</v>
      </c>
    </row>
    <row r="138" spans="1:12" x14ac:dyDescent="0.3">
      <c r="A138" s="16" t="s">
        <v>23</v>
      </c>
      <c r="B138" s="16" t="s">
        <v>11</v>
      </c>
      <c r="C138" s="31">
        <v>46244</v>
      </c>
      <c r="D138" s="17">
        <v>11233.58</v>
      </c>
      <c r="E138" s="17">
        <v>0</v>
      </c>
      <c r="F138" s="17">
        <v>1474.64</v>
      </c>
      <c r="G138" s="17">
        <v>0</v>
      </c>
      <c r="H138" s="17">
        <f t="shared" si="6"/>
        <v>9758.94</v>
      </c>
      <c r="I138" s="17">
        <v>9737.43</v>
      </c>
      <c r="J138" s="17">
        <f t="shared" si="7"/>
        <v>-21.510000000000218</v>
      </c>
      <c r="K138" s="23">
        <f t="shared" si="8"/>
        <v>-1.45866109694571E-2</v>
      </c>
      <c r="L138" s="17">
        <f>SUMIFS('Registros manuales'!$D$5:$D$104,'Registros manuales'!$A$5:$A$104,A138,'Registros manuales'!$B$5:$B$104,B138,'Registros manuales'!$C$5:$C$104,C138)</f>
        <v>0</v>
      </c>
    </row>
    <row r="139" spans="1:12" x14ac:dyDescent="0.3">
      <c r="A139" s="16" t="s">
        <v>23</v>
      </c>
      <c r="B139" s="16" t="s">
        <v>11</v>
      </c>
      <c r="C139" s="31">
        <v>46245</v>
      </c>
      <c r="D139" s="17">
        <v>9737.43</v>
      </c>
      <c r="E139" s="17">
        <v>0</v>
      </c>
      <c r="F139" s="17">
        <v>1590.39</v>
      </c>
      <c r="G139" s="17">
        <v>0</v>
      </c>
      <c r="H139" s="17">
        <f t="shared" si="6"/>
        <v>8147.04</v>
      </c>
      <c r="I139" s="17">
        <v>8134.83</v>
      </c>
      <c r="J139" s="17">
        <f t="shared" si="7"/>
        <v>-12.210000000000036</v>
      </c>
      <c r="K139" s="23">
        <f t="shared" si="8"/>
        <v>-7.6773621564522132E-3</v>
      </c>
      <c r="L139" s="17">
        <f>SUMIFS('Registros manuales'!$D$5:$D$104,'Registros manuales'!$A$5:$A$104,A139,'Registros manuales'!$B$5:$B$104,B139,'Registros manuales'!$C$5:$C$104,C139)</f>
        <v>0</v>
      </c>
    </row>
    <row r="140" spans="1:12" x14ac:dyDescent="0.3">
      <c r="A140" s="16" t="s">
        <v>23</v>
      </c>
      <c r="B140" s="16" t="s">
        <v>11</v>
      </c>
      <c r="C140" s="31">
        <v>46246</v>
      </c>
      <c r="D140" s="17">
        <v>8134.83</v>
      </c>
      <c r="E140" s="17">
        <v>0</v>
      </c>
      <c r="F140" s="17">
        <v>1583.95</v>
      </c>
      <c r="G140" s="17">
        <v>0</v>
      </c>
      <c r="H140" s="17">
        <f t="shared" si="6"/>
        <v>6550.88</v>
      </c>
      <c r="I140" s="17">
        <v>6547.21</v>
      </c>
      <c r="J140" s="17">
        <f t="shared" si="7"/>
        <v>-3.6700000000000728</v>
      </c>
      <c r="K140" s="23">
        <f t="shared" si="8"/>
        <v>-2.3169923293033697E-3</v>
      </c>
      <c r="L140" s="17">
        <f>SUMIFS('Registros manuales'!$D$5:$D$104,'Registros manuales'!$A$5:$A$104,A140,'Registros manuales'!$B$5:$B$104,B140,'Registros manuales'!$C$5:$C$104,C140)</f>
        <v>0</v>
      </c>
    </row>
    <row r="141" spans="1:12" x14ac:dyDescent="0.3">
      <c r="A141" s="16" t="s">
        <v>23</v>
      </c>
      <c r="B141" s="16" t="s">
        <v>11</v>
      </c>
      <c r="C141" s="31">
        <v>46247</v>
      </c>
      <c r="D141" s="17">
        <v>6547.21</v>
      </c>
      <c r="E141" s="17">
        <v>0</v>
      </c>
      <c r="F141" s="17">
        <v>1889.07</v>
      </c>
      <c r="G141" s="17">
        <v>0</v>
      </c>
      <c r="H141" s="17">
        <f t="shared" si="6"/>
        <v>4658.1400000000003</v>
      </c>
      <c r="I141" s="17">
        <v>4676.33</v>
      </c>
      <c r="J141" s="17">
        <f t="shared" si="7"/>
        <v>18.1899999999996</v>
      </c>
      <c r="K141" s="23">
        <f t="shared" si="8"/>
        <v>9.6290767414651656E-3</v>
      </c>
      <c r="L141" s="17">
        <f>SUMIFS('Registros manuales'!$D$5:$D$104,'Registros manuales'!$A$5:$A$104,A141,'Registros manuales'!$B$5:$B$104,B141,'Registros manuales'!$C$5:$C$104,C141)</f>
        <v>0</v>
      </c>
    </row>
    <row r="142" spans="1:12" x14ac:dyDescent="0.3">
      <c r="A142" s="16" t="s">
        <v>23</v>
      </c>
      <c r="B142" s="16" t="s">
        <v>11</v>
      </c>
      <c r="C142" s="31">
        <v>46248</v>
      </c>
      <c r="D142" s="17">
        <v>4676.33</v>
      </c>
      <c r="E142" s="17">
        <v>30158</v>
      </c>
      <c r="F142" s="17">
        <v>1776.28</v>
      </c>
      <c r="G142" s="17">
        <v>0</v>
      </c>
      <c r="H142" s="17">
        <f t="shared" si="6"/>
        <v>33058.050000000003</v>
      </c>
      <c r="I142" s="17">
        <v>33205.370000000003</v>
      </c>
      <c r="J142" s="17">
        <f t="shared" si="7"/>
        <v>147.31999999999971</v>
      </c>
      <c r="K142" s="23">
        <f t="shared" si="8"/>
        <v>8.2937374738216788E-2</v>
      </c>
      <c r="L142" s="17">
        <f>SUMIFS('Registros manuales'!$D$5:$D$104,'Registros manuales'!$A$5:$A$104,A142,'Registros manuales'!$B$5:$B$104,B142,'Registros manuales'!$C$5:$C$104,C142)</f>
        <v>0</v>
      </c>
    </row>
    <row r="143" spans="1:12" x14ac:dyDescent="0.3">
      <c r="A143" s="16" t="s">
        <v>23</v>
      </c>
      <c r="B143" s="16" t="s">
        <v>11</v>
      </c>
      <c r="C143" s="31">
        <v>46249</v>
      </c>
      <c r="D143" s="17">
        <v>33205.370000000003</v>
      </c>
      <c r="E143" s="17">
        <v>0</v>
      </c>
      <c r="F143" s="17">
        <v>1828.38</v>
      </c>
      <c r="G143" s="17">
        <v>0</v>
      </c>
      <c r="H143" s="17">
        <f t="shared" si="6"/>
        <v>31376.99</v>
      </c>
      <c r="I143" s="17">
        <v>31349.34</v>
      </c>
      <c r="J143" s="17">
        <f t="shared" si="7"/>
        <v>-27.650000000001455</v>
      </c>
      <c r="K143" s="23">
        <f t="shared" si="8"/>
        <v>-1.5122676905239312E-2</v>
      </c>
      <c r="L143" s="17">
        <f>SUMIFS('Registros manuales'!$D$5:$D$104,'Registros manuales'!$A$5:$A$104,A143,'Registros manuales'!$B$5:$B$104,B143,'Registros manuales'!$C$5:$C$104,C143)</f>
        <v>0</v>
      </c>
    </row>
    <row r="144" spans="1:12" x14ac:dyDescent="0.3">
      <c r="A144" s="16" t="s">
        <v>23</v>
      </c>
      <c r="B144" s="16" t="s">
        <v>11</v>
      </c>
      <c r="C144" s="31">
        <v>46250</v>
      </c>
      <c r="D144" s="17">
        <v>31349.34</v>
      </c>
      <c r="E144" s="17">
        <v>0</v>
      </c>
      <c r="F144" s="17">
        <v>1756.25</v>
      </c>
      <c r="G144" s="17">
        <v>0</v>
      </c>
      <c r="H144" s="17">
        <f t="shared" si="6"/>
        <v>29593.09</v>
      </c>
      <c r="I144" s="17">
        <v>29553.96</v>
      </c>
      <c r="J144" s="17">
        <f t="shared" si="7"/>
        <v>-39.130000000001019</v>
      </c>
      <c r="K144" s="23">
        <f t="shared" si="8"/>
        <v>-2.2280427046263925E-2</v>
      </c>
      <c r="L144" s="17">
        <f>SUMIFS('Registros manuales'!$D$5:$D$104,'Registros manuales'!$A$5:$A$104,A144,'Registros manuales'!$B$5:$B$104,B144,'Registros manuales'!$C$5:$C$104,C144)</f>
        <v>0</v>
      </c>
    </row>
    <row r="145" spans="1:12" x14ac:dyDescent="0.3">
      <c r="A145" s="16" t="s">
        <v>23</v>
      </c>
      <c r="B145" s="16" t="s">
        <v>11</v>
      </c>
      <c r="C145" s="31">
        <v>46251</v>
      </c>
      <c r="D145" s="17">
        <v>29553.96</v>
      </c>
      <c r="E145" s="17">
        <v>0</v>
      </c>
      <c r="F145" s="17">
        <v>1834.04</v>
      </c>
      <c r="G145" s="17">
        <v>0</v>
      </c>
      <c r="H145" s="17">
        <f t="shared" si="6"/>
        <v>27719.919999999998</v>
      </c>
      <c r="I145" s="17">
        <v>27674.17</v>
      </c>
      <c r="J145" s="17">
        <f t="shared" si="7"/>
        <v>-45.75</v>
      </c>
      <c r="K145" s="23">
        <f t="shared" si="8"/>
        <v>-2.4944930317768423E-2</v>
      </c>
      <c r="L145" s="17">
        <f>SUMIFS('Registros manuales'!$D$5:$D$104,'Registros manuales'!$A$5:$A$104,A145,'Registros manuales'!$B$5:$B$104,B145,'Registros manuales'!$C$5:$C$104,C145)</f>
        <v>0</v>
      </c>
    </row>
    <row r="146" spans="1:12" x14ac:dyDescent="0.3">
      <c r="A146" s="16" t="s">
        <v>23</v>
      </c>
      <c r="B146" s="16" t="s">
        <v>11</v>
      </c>
      <c r="C146" s="31">
        <v>46252</v>
      </c>
      <c r="D146" s="17">
        <v>27674.17</v>
      </c>
      <c r="E146" s="17">
        <v>0</v>
      </c>
      <c r="F146" s="17">
        <v>1958.15</v>
      </c>
      <c r="G146" s="17">
        <v>0</v>
      </c>
      <c r="H146" s="17">
        <f t="shared" si="6"/>
        <v>25716.019999999997</v>
      </c>
      <c r="I146" s="17">
        <v>25666.33</v>
      </c>
      <c r="J146" s="17">
        <f t="shared" si="7"/>
        <v>-49.689999999995052</v>
      </c>
      <c r="K146" s="23">
        <f t="shared" si="8"/>
        <v>-2.5375992646117534E-2</v>
      </c>
      <c r="L146" s="17">
        <f>SUMIFS('Registros manuales'!$D$5:$D$104,'Registros manuales'!$A$5:$A$104,A146,'Registros manuales'!$B$5:$B$104,B146,'Registros manuales'!$C$5:$C$104,C146)</f>
        <v>0</v>
      </c>
    </row>
    <row r="147" spans="1:12" x14ac:dyDescent="0.3">
      <c r="A147" s="16" t="s">
        <v>23</v>
      </c>
      <c r="B147" s="16" t="s">
        <v>11</v>
      </c>
      <c r="C147" s="31">
        <v>46253</v>
      </c>
      <c r="D147" s="17">
        <v>25666.33</v>
      </c>
      <c r="E147" s="17">
        <v>0</v>
      </c>
      <c r="F147" s="17">
        <v>1335.05</v>
      </c>
      <c r="G147" s="17">
        <v>0</v>
      </c>
      <c r="H147" s="17">
        <f t="shared" si="6"/>
        <v>24331.280000000002</v>
      </c>
      <c r="I147" s="17">
        <v>24298.22</v>
      </c>
      <c r="J147" s="17">
        <f t="shared" si="7"/>
        <v>-33.06000000000131</v>
      </c>
      <c r="K147" s="23">
        <f t="shared" si="8"/>
        <v>-2.4763117486237451E-2</v>
      </c>
      <c r="L147" s="17">
        <f>SUMIFS('Registros manuales'!$D$5:$D$104,'Registros manuales'!$A$5:$A$104,A147,'Registros manuales'!$B$5:$B$104,B147,'Registros manuales'!$C$5:$C$104,C147)</f>
        <v>0</v>
      </c>
    </row>
    <row r="148" spans="1:12" x14ac:dyDescent="0.3">
      <c r="A148" s="16" t="s">
        <v>23</v>
      </c>
      <c r="B148" s="16" t="s">
        <v>11</v>
      </c>
      <c r="C148" s="31">
        <v>46254</v>
      </c>
      <c r="D148" s="17">
        <v>24298.22</v>
      </c>
      <c r="E148" s="17">
        <v>0</v>
      </c>
      <c r="F148" s="17">
        <v>1642.81</v>
      </c>
      <c r="G148" s="17">
        <v>0</v>
      </c>
      <c r="H148" s="17">
        <f t="shared" si="6"/>
        <v>22655.41</v>
      </c>
      <c r="I148" s="17">
        <v>22610.79</v>
      </c>
      <c r="J148" s="17">
        <f t="shared" si="7"/>
        <v>-44.619999999998981</v>
      </c>
      <c r="K148" s="23">
        <f t="shared" si="8"/>
        <v>-2.7160779396277708E-2</v>
      </c>
      <c r="L148" s="17">
        <f>SUMIFS('Registros manuales'!$D$5:$D$104,'Registros manuales'!$A$5:$A$104,A148,'Registros manuales'!$B$5:$B$104,B148,'Registros manuales'!$C$5:$C$104,C148)</f>
        <v>0</v>
      </c>
    </row>
    <row r="149" spans="1:12" x14ac:dyDescent="0.3">
      <c r="A149" s="16" t="s">
        <v>23</v>
      </c>
      <c r="B149" s="16" t="s">
        <v>11</v>
      </c>
      <c r="C149" s="31">
        <v>46255</v>
      </c>
      <c r="D149" s="17">
        <v>22610.79</v>
      </c>
      <c r="E149" s="17">
        <v>0</v>
      </c>
      <c r="F149" s="17">
        <v>1593.66</v>
      </c>
      <c r="G149" s="17">
        <v>0</v>
      </c>
      <c r="H149" s="17">
        <f t="shared" si="6"/>
        <v>21017.13</v>
      </c>
      <c r="I149" s="17">
        <v>20971.3</v>
      </c>
      <c r="J149" s="17">
        <f t="shared" si="7"/>
        <v>-45.830000000001746</v>
      </c>
      <c r="K149" s="23">
        <f t="shared" si="8"/>
        <v>-2.8757702395744225E-2</v>
      </c>
      <c r="L149" s="17">
        <f>SUMIFS('Registros manuales'!$D$5:$D$104,'Registros manuales'!$A$5:$A$104,A149,'Registros manuales'!$B$5:$B$104,B149,'Registros manuales'!$C$5:$C$104,C149)</f>
        <v>0</v>
      </c>
    </row>
    <row r="150" spans="1:12" x14ac:dyDescent="0.3">
      <c r="A150" s="16" t="s">
        <v>23</v>
      </c>
      <c r="B150" s="16" t="s">
        <v>11</v>
      </c>
      <c r="C150" s="31">
        <v>46256</v>
      </c>
      <c r="D150" s="17">
        <v>20971.3</v>
      </c>
      <c r="E150" s="17">
        <v>0</v>
      </c>
      <c r="F150" s="17">
        <v>1877.29</v>
      </c>
      <c r="G150" s="17">
        <v>0</v>
      </c>
      <c r="H150" s="17">
        <f t="shared" si="6"/>
        <v>19094.009999999998</v>
      </c>
      <c r="I150" s="17">
        <v>19048.8</v>
      </c>
      <c r="J150" s="17">
        <f t="shared" si="7"/>
        <v>-45.209999999999127</v>
      </c>
      <c r="K150" s="23">
        <f t="shared" si="8"/>
        <v>-2.4082587133580389E-2</v>
      </c>
      <c r="L150" s="17">
        <f>SUMIFS('Registros manuales'!$D$5:$D$104,'Registros manuales'!$A$5:$A$104,A150,'Registros manuales'!$B$5:$B$104,B150,'Registros manuales'!$C$5:$C$104,C150)</f>
        <v>0</v>
      </c>
    </row>
    <row r="151" spans="1:12" x14ac:dyDescent="0.3">
      <c r="A151" s="16" t="s">
        <v>23</v>
      </c>
      <c r="B151" s="16" t="s">
        <v>11</v>
      </c>
      <c r="C151" s="31">
        <v>46257</v>
      </c>
      <c r="D151" s="17">
        <v>19048.8</v>
      </c>
      <c r="E151" s="17">
        <v>0</v>
      </c>
      <c r="F151" s="17">
        <v>1654.67</v>
      </c>
      <c r="G151" s="17">
        <v>0</v>
      </c>
      <c r="H151" s="17">
        <f t="shared" si="6"/>
        <v>17394.129999999997</v>
      </c>
      <c r="I151" s="17">
        <v>17352.560000000001</v>
      </c>
      <c r="J151" s="17">
        <f t="shared" si="7"/>
        <v>-41.569999999996071</v>
      </c>
      <c r="K151" s="23">
        <f t="shared" si="8"/>
        <v>-2.512283416028336E-2</v>
      </c>
      <c r="L151" s="17">
        <f>SUMIFS('Registros manuales'!$D$5:$D$104,'Registros manuales'!$A$5:$A$104,A151,'Registros manuales'!$B$5:$B$104,B151,'Registros manuales'!$C$5:$C$104,C151)</f>
        <v>0</v>
      </c>
    </row>
    <row r="152" spans="1:12" x14ac:dyDescent="0.3">
      <c r="A152" s="16" t="s">
        <v>23</v>
      </c>
      <c r="B152" s="16" t="s">
        <v>11</v>
      </c>
      <c r="C152" s="31">
        <v>46258</v>
      </c>
      <c r="D152" s="17">
        <v>17352.560000000001</v>
      </c>
      <c r="E152" s="17">
        <v>0</v>
      </c>
      <c r="F152" s="17">
        <v>1473.97</v>
      </c>
      <c r="G152" s="17">
        <v>0</v>
      </c>
      <c r="H152" s="17">
        <f t="shared" si="6"/>
        <v>15878.590000000002</v>
      </c>
      <c r="I152" s="17">
        <v>15847.26</v>
      </c>
      <c r="J152" s="17">
        <f t="shared" si="7"/>
        <v>-31.330000000001746</v>
      </c>
      <c r="K152" s="23">
        <f t="shared" si="8"/>
        <v>-2.1255520804359482E-2</v>
      </c>
      <c r="L152" s="17">
        <f>SUMIFS('Registros manuales'!$D$5:$D$104,'Registros manuales'!$A$5:$A$104,A152,'Registros manuales'!$B$5:$B$104,B152,'Registros manuales'!$C$5:$C$104,C152)</f>
        <v>0</v>
      </c>
    </row>
    <row r="153" spans="1:12" x14ac:dyDescent="0.3">
      <c r="A153" s="16" t="s">
        <v>23</v>
      </c>
      <c r="B153" s="16" t="s">
        <v>11</v>
      </c>
      <c r="C153" s="31">
        <v>46259</v>
      </c>
      <c r="D153" s="17">
        <v>15847.26</v>
      </c>
      <c r="E153" s="17">
        <v>0</v>
      </c>
      <c r="F153" s="17">
        <v>1465.24</v>
      </c>
      <c r="G153" s="17">
        <v>0</v>
      </c>
      <c r="H153" s="17">
        <f t="shared" si="6"/>
        <v>14382.02</v>
      </c>
      <c r="I153" s="17">
        <v>14350.48</v>
      </c>
      <c r="J153" s="17">
        <f t="shared" si="7"/>
        <v>-31.540000000000873</v>
      </c>
      <c r="K153" s="23">
        <f t="shared" si="8"/>
        <v>-2.1525483879774557E-2</v>
      </c>
      <c r="L153" s="17">
        <f>SUMIFS('Registros manuales'!$D$5:$D$104,'Registros manuales'!$A$5:$A$104,A153,'Registros manuales'!$B$5:$B$104,B153,'Registros manuales'!$C$5:$C$104,C153)</f>
        <v>0</v>
      </c>
    </row>
    <row r="154" spans="1:12" x14ac:dyDescent="0.3">
      <c r="A154" s="16" t="s">
        <v>23</v>
      </c>
      <c r="B154" s="16" t="s">
        <v>11</v>
      </c>
      <c r="C154" s="31">
        <v>46260</v>
      </c>
      <c r="D154" s="17">
        <v>14350.48</v>
      </c>
      <c r="E154" s="17">
        <v>0</v>
      </c>
      <c r="F154" s="17">
        <v>1813.1</v>
      </c>
      <c r="G154" s="17">
        <v>0</v>
      </c>
      <c r="H154" s="17">
        <f t="shared" si="6"/>
        <v>12537.38</v>
      </c>
      <c r="I154" s="17">
        <v>12500.99</v>
      </c>
      <c r="J154" s="17">
        <f t="shared" si="7"/>
        <v>-36.389999999999418</v>
      </c>
      <c r="K154" s="23">
        <f t="shared" si="8"/>
        <v>-2.0070597319507704E-2</v>
      </c>
      <c r="L154" s="17">
        <f>SUMIFS('Registros manuales'!$D$5:$D$104,'Registros manuales'!$A$5:$A$104,A154,'Registros manuales'!$B$5:$B$104,B154,'Registros manuales'!$C$5:$C$104,C154)</f>
        <v>0</v>
      </c>
    </row>
    <row r="155" spans="1:12" x14ac:dyDescent="0.3">
      <c r="A155" s="16" t="s">
        <v>23</v>
      </c>
      <c r="B155" s="16" t="s">
        <v>11</v>
      </c>
      <c r="C155" s="31">
        <v>46261</v>
      </c>
      <c r="D155" s="17">
        <v>12500.99</v>
      </c>
      <c r="E155" s="17">
        <v>0</v>
      </c>
      <c r="F155" s="17">
        <v>1480.68</v>
      </c>
      <c r="G155" s="17">
        <v>0</v>
      </c>
      <c r="H155" s="17">
        <f t="shared" si="6"/>
        <v>11020.31</v>
      </c>
      <c r="I155" s="17">
        <v>10995.92</v>
      </c>
      <c r="J155" s="17">
        <f t="shared" si="7"/>
        <v>-24.389999999999418</v>
      </c>
      <c r="K155" s="23">
        <f t="shared" si="8"/>
        <v>-1.6472161439338287E-2</v>
      </c>
      <c r="L155" s="17">
        <f>SUMIFS('Registros manuales'!$D$5:$D$104,'Registros manuales'!$A$5:$A$104,A155,'Registros manuales'!$B$5:$B$104,B155,'Registros manuales'!$C$5:$C$104,C155)</f>
        <v>0</v>
      </c>
    </row>
    <row r="156" spans="1:12" x14ac:dyDescent="0.3">
      <c r="A156" s="16" t="s">
        <v>23</v>
      </c>
      <c r="B156" s="16" t="s">
        <v>11</v>
      </c>
      <c r="C156" s="31">
        <v>46262</v>
      </c>
      <c r="D156" s="17">
        <v>10995.92</v>
      </c>
      <c r="E156" s="17">
        <v>0</v>
      </c>
      <c r="F156" s="17">
        <v>2050.0500000000002</v>
      </c>
      <c r="G156" s="17">
        <v>0</v>
      </c>
      <c r="H156" s="17">
        <f t="shared" si="6"/>
        <v>8945.869999999999</v>
      </c>
      <c r="I156" s="17">
        <v>8920.15</v>
      </c>
      <c r="J156" s="17">
        <f t="shared" si="7"/>
        <v>-25.719999999999345</v>
      </c>
      <c r="K156" s="23">
        <f t="shared" si="8"/>
        <v>-1.2546035462549373E-2</v>
      </c>
      <c r="L156" s="17">
        <f>SUMIFS('Registros manuales'!$D$5:$D$104,'Registros manuales'!$A$5:$A$104,A156,'Registros manuales'!$B$5:$B$104,B156,'Registros manuales'!$C$5:$C$104,C156)</f>
        <v>0</v>
      </c>
    </row>
    <row r="157" spans="1:12" x14ac:dyDescent="0.3">
      <c r="A157" s="16" t="s">
        <v>23</v>
      </c>
      <c r="B157" s="16" t="s">
        <v>11</v>
      </c>
      <c r="C157" s="31">
        <v>46263</v>
      </c>
      <c r="D157" s="17">
        <v>8920.15</v>
      </c>
      <c r="E157" s="17">
        <v>0</v>
      </c>
      <c r="F157" s="17">
        <v>1678.72</v>
      </c>
      <c r="G157" s="17">
        <v>0</v>
      </c>
      <c r="H157" s="17">
        <f t="shared" si="6"/>
        <v>7241.4299999999994</v>
      </c>
      <c r="I157" s="17">
        <v>7236.05</v>
      </c>
      <c r="J157" s="17">
        <f t="shared" si="7"/>
        <v>-5.3799999999991996</v>
      </c>
      <c r="K157" s="23">
        <f t="shared" si="8"/>
        <v>-3.2048227220734843E-3</v>
      </c>
      <c r="L157" s="17">
        <f>SUMIFS('Registros manuales'!$D$5:$D$104,'Registros manuales'!$A$5:$A$104,A157,'Registros manuales'!$B$5:$B$104,B157,'Registros manuales'!$C$5:$C$104,C157)</f>
        <v>0</v>
      </c>
    </row>
    <row r="158" spans="1:12" x14ac:dyDescent="0.3">
      <c r="A158" s="16" t="s">
        <v>23</v>
      </c>
      <c r="B158" s="16" t="s">
        <v>11</v>
      </c>
      <c r="C158" s="31">
        <v>46264</v>
      </c>
      <c r="D158" s="17">
        <v>7236.05</v>
      </c>
      <c r="E158" s="17">
        <v>0</v>
      </c>
      <c r="F158" s="17">
        <v>1675.78</v>
      </c>
      <c r="G158" s="17">
        <v>0</v>
      </c>
      <c r="H158" s="17">
        <f t="shared" si="6"/>
        <v>5560.27</v>
      </c>
      <c r="I158" s="17">
        <v>5566.23</v>
      </c>
      <c r="J158" s="17">
        <f t="shared" si="7"/>
        <v>5.9599999999991269</v>
      </c>
      <c r="K158" s="23">
        <f t="shared" si="8"/>
        <v>3.5565527694560901E-3</v>
      </c>
      <c r="L158" s="17">
        <f>SUMIFS('Registros manuales'!$D$5:$D$104,'Registros manuales'!$A$5:$A$104,A158,'Registros manuales'!$B$5:$B$104,B158,'Registros manuales'!$C$5:$C$104,C158)</f>
        <v>0</v>
      </c>
    </row>
    <row r="159" spans="1:12" x14ac:dyDescent="0.3">
      <c r="A159" s="16" t="s">
        <v>23</v>
      </c>
      <c r="B159" s="16" t="s">
        <v>11</v>
      </c>
      <c r="C159" s="31">
        <v>46265</v>
      </c>
      <c r="D159" s="17">
        <v>5566.23</v>
      </c>
      <c r="E159" s="17">
        <v>29943</v>
      </c>
      <c r="F159" s="17">
        <v>1890.15</v>
      </c>
      <c r="G159" s="17">
        <v>0</v>
      </c>
      <c r="H159" s="17">
        <f t="shared" si="6"/>
        <v>33619.079999999994</v>
      </c>
      <c r="I159" s="17">
        <v>34179.449999999997</v>
      </c>
      <c r="J159" s="17">
        <f t="shared" si="7"/>
        <v>560.37000000000262</v>
      </c>
      <c r="K159" s="23">
        <f t="shared" si="8"/>
        <v>0.29646853424331537</v>
      </c>
      <c r="L159" s="17">
        <f>SUMIFS('Registros manuales'!$D$5:$D$104,'Registros manuales'!$A$5:$A$104,A159,'Registros manuales'!$B$5:$B$104,B159,'Registros manuales'!$C$5:$C$104,C159)</f>
        <v>0</v>
      </c>
    </row>
    <row r="160" spans="1:12" x14ac:dyDescent="0.3">
      <c r="A160" s="16" t="s">
        <v>23</v>
      </c>
      <c r="B160" s="16" t="s">
        <v>12</v>
      </c>
      <c r="C160" s="31">
        <v>46235</v>
      </c>
      <c r="D160" s="17">
        <v>46175.06</v>
      </c>
      <c r="E160" s="17">
        <v>0</v>
      </c>
      <c r="F160" s="17">
        <v>6863.12</v>
      </c>
      <c r="G160" s="17">
        <v>0</v>
      </c>
      <c r="H160" s="17">
        <f t="shared" si="6"/>
        <v>39311.939999999995</v>
      </c>
      <c r="I160" s="17">
        <v>73899.33</v>
      </c>
      <c r="J160" s="17">
        <f t="shared" si="7"/>
        <v>34587.390000000007</v>
      </c>
      <c r="K160" s="23">
        <f t="shared" si="8"/>
        <v>5.0396015223396953</v>
      </c>
      <c r="L160" s="17">
        <f>SUMIFS('Registros manuales'!$D$5:$D$104,'Registros manuales'!$A$5:$A$104,A160,'Registros manuales'!$B$5:$B$104,B160,'Registros manuales'!$C$5:$C$104,C160)</f>
        <v>0</v>
      </c>
    </row>
    <row r="161" spans="1:12" x14ac:dyDescent="0.3">
      <c r="A161" s="16" t="s">
        <v>23</v>
      </c>
      <c r="B161" s="16" t="s">
        <v>12</v>
      </c>
      <c r="C161" s="31">
        <v>46236</v>
      </c>
      <c r="D161" s="17">
        <v>73899.33</v>
      </c>
      <c r="E161" s="17">
        <v>33447</v>
      </c>
      <c r="F161" s="17">
        <v>2483.35</v>
      </c>
      <c r="G161" s="17">
        <v>0</v>
      </c>
      <c r="H161" s="17">
        <f t="shared" si="6"/>
        <v>104862.98</v>
      </c>
      <c r="I161" s="17">
        <v>71316.3</v>
      </c>
      <c r="J161" s="17">
        <f t="shared" si="7"/>
        <v>-33546.679999999993</v>
      </c>
      <c r="K161" s="23">
        <f t="shared" si="8"/>
        <v>-13.508639539331948</v>
      </c>
      <c r="L161" s="17">
        <f>SUMIFS('Registros manuales'!$D$5:$D$104,'Registros manuales'!$A$5:$A$104,A161,'Registros manuales'!$B$5:$B$104,B161,'Registros manuales'!$C$5:$C$104,C161)</f>
        <v>0</v>
      </c>
    </row>
    <row r="162" spans="1:12" x14ac:dyDescent="0.3">
      <c r="A162" s="16" t="s">
        <v>23</v>
      </c>
      <c r="B162" s="16" t="s">
        <v>12</v>
      </c>
      <c r="C162" s="31">
        <v>46237</v>
      </c>
      <c r="D162" s="17">
        <v>71316.3</v>
      </c>
      <c r="E162" s="17">
        <v>0</v>
      </c>
      <c r="F162" s="17">
        <v>12044.97</v>
      </c>
      <c r="G162" s="17">
        <v>0</v>
      </c>
      <c r="H162" s="17">
        <f t="shared" si="6"/>
        <v>59271.33</v>
      </c>
      <c r="I162" s="17">
        <v>58880.94</v>
      </c>
      <c r="J162" s="17">
        <f t="shared" si="7"/>
        <v>-390.38999999999942</v>
      </c>
      <c r="K162" s="23">
        <f t="shared" si="8"/>
        <v>-3.2411039628990314E-2</v>
      </c>
      <c r="L162" s="17">
        <f>SUMIFS('Registros manuales'!$D$5:$D$104,'Registros manuales'!$A$5:$A$104,A162,'Registros manuales'!$B$5:$B$104,B162,'Registros manuales'!$C$5:$C$104,C162)</f>
        <v>0</v>
      </c>
    </row>
    <row r="163" spans="1:12" x14ac:dyDescent="0.3">
      <c r="A163" s="16" t="s">
        <v>23</v>
      </c>
      <c r="B163" s="16" t="s">
        <v>12</v>
      </c>
      <c r="C163" s="31">
        <v>46238</v>
      </c>
      <c r="D163" s="17">
        <v>58880.94</v>
      </c>
      <c r="E163" s="17">
        <v>0</v>
      </c>
      <c r="F163" s="17">
        <v>10415.58</v>
      </c>
      <c r="G163" s="17">
        <v>0</v>
      </c>
      <c r="H163" s="17">
        <f t="shared" si="6"/>
        <v>48465.36</v>
      </c>
      <c r="I163" s="17">
        <v>47904.9</v>
      </c>
      <c r="J163" s="17">
        <f t="shared" si="7"/>
        <v>-560.45999999999913</v>
      </c>
      <c r="K163" s="23">
        <f t="shared" si="8"/>
        <v>-5.3809773435564714E-2</v>
      </c>
      <c r="L163" s="17">
        <f>SUMIFS('Registros manuales'!$D$5:$D$104,'Registros manuales'!$A$5:$A$104,A163,'Registros manuales'!$B$5:$B$104,B163,'Registros manuales'!$C$5:$C$104,C163)</f>
        <v>0</v>
      </c>
    </row>
    <row r="164" spans="1:12" x14ac:dyDescent="0.3">
      <c r="A164" s="16" t="s">
        <v>23</v>
      </c>
      <c r="B164" s="16" t="s">
        <v>12</v>
      </c>
      <c r="C164" s="31">
        <v>46239</v>
      </c>
      <c r="D164" s="17">
        <v>47904.9</v>
      </c>
      <c r="E164" s="17">
        <v>29862</v>
      </c>
      <c r="F164" s="17">
        <v>11400.46</v>
      </c>
      <c r="G164" s="17">
        <v>0</v>
      </c>
      <c r="H164" s="17">
        <f t="shared" si="6"/>
        <v>66366.44</v>
      </c>
      <c r="I164" s="17">
        <v>67042.720000000001</v>
      </c>
      <c r="J164" s="17">
        <f t="shared" si="7"/>
        <v>676.27999999999884</v>
      </c>
      <c r="K164" s="23">
        <f t="shared" si="8"/>
        <v>5.9320413386828155E-2</v>
      </c>
      <c r="L164" s="17">
        <f>SUMIFS('Registros manuales'!$D$5:$D$104,'Registros manuales'!$A$5:$A$104,A164,'Registros manuales'!$B$5:$B$104,B164,'Registros manuales'!$C$5:$C$104,C164)</f>
        <v>0</v>
      </c>
    </row>
    <row r="165" spans="1:12" x14ac:dyDescent="0.3">
      <c r="A165" s="16" t="s">
        <v>23</v>
      </c>
      <c r="B165" s="16" t="s">
        <v>12</v>
      </c>
      <c r="C165" s="31">
        <v>46240</v>
      </c>
      <c r="D165" s="17">
        <v>67042.720000000001</v>
      </c>
      <c r="E165" s="17">
        <v>0</v>
      </c>
      <c r="F165" s="17">
        <v>7372.47</v>
      </c>
      <c r="G165" s="17">
        <v>0</v>
      </c>
      <c r="H165" s="17">
        <f t="shared" si="6"/>
        <v>59670.25</v>
      </c>
      <c r="I165" s="17">
        <v>59306.32</v>
      </c>
      <c r="J165" s="17">
        <f t="shared" si="7"/>
        <v>-363.93000000000029</v>
      </c>
      <c r="K165" s="23">
        <f t="shared" si="8"/>
        <v>-4.9363374825533407E-2</v>
      </c>
      <c r="L165" s="17">
        <f>SUMIFS('Registros manuales'!$D$5:$D$104,'Registros manuales'!$A$5:$A$104,A165,'Registros manuales'!$B$5:$B$104,B165,'Registros manuales'!$C$5:$C$104,C165)</f>
        <v>0</v>
      </c>
    </row>
    <row r="166" spans="1:12" x14ac:dyDescent="0.3">
      <c r="A166" s="16" t="s">
        <v>23</v>
      </c>
      <c r="B166" s="16" t="s">
        <v>12</v>
      </c>
      <c r="C166" s="31">
        <v>46241</v>
      </c>
      <c r="D166" s="17">
        <v>59306.32</v>
      </c>
      <c r="E166" s="17">
        <v>0</v>
      </c>
      <c r="F166" s="17">
        <v>9806.32</v>
      </c>
      <c r="G166" s="17">
        <v>0</v>
      </c>
      <c r="H166" s="17">
        <f t="shared" si="6"/>
        <v>49500</v>
      </c>
      <c r="I166" s="17">
        <v>48980.52</v>
      </c>
      <c r="J166" s="17">
        <f t="shared" si="7"/>
        <v>-519.4800000000032</v>
      </c>
      <c r="K166" s="23">
        <f t="shared" si="8"/>
        <v>-5.2974000440532555E-2</v>
      </c>
      <c r="L166" s="17">
        <f>SUMIFS('Registros manuales'!$D$5:$D$104,'Registros manuales'!$A$5:$A$104,A166,'Registros manuales'!$B$5:$B$104,B166,'Registros manuales'!$C$5:$C$104,C166)</f>
        <v>0</v>
      </c>
    </row>
    <row r="167" spans="1:12" x14ac:dyDescent="0.3">
      <c r="A167" s="16" t="s">
        <v>23</v>
      </c>
      <c r="B167" s="16" t="s">
        <v>12</v>
      </c>
      <c r="C167" s="31">
        <v>46242</v>
      </c>
      <c r="D167" s="17">
        <v>48980.52</v>
      </c>
      <c r="E167" s="17">
        <v>29896</v>
      </c>
      <c r="F167" s="17">
        <v>3974.42</v>
      </c>
      <c r="G167" s="17">
        <v>0</v>
      </c>
      <c r="H167" s="17">
        <f t="shared" si="6"/>
        <v>74902.099999999991</v>
      </c>
      <c r="I167" s="17">
        <v>75686.850000000006</v>
      </c>
      <c r="J167" s="17">
        <f t="shared" si="7"/>
        <v>784.75000000001455</v>
      </c>
      <c r="K167" s="23">
        <f t="shared" si="8"/>
        <v>0.19745019399057334</v>
      </c>
      <c r="L167" s="17">
        <f>SUMIFS('Registros manuales'!$D$5:$D$104,'Registros manuales'!$A$5:$A$104,A167,'Registros manuales'!$B$5:$B$104,B167,'Registros manuales'!$C$5:$C$104,C167)</f>
        <v>0</v>
      </c>
    </row>
    <row r="168" spans="1:12" x14ac:dyDescent="0.3">
      <c r="A168" s="16" t="s">
        <v>23</v>
      </c>
      <c r="B168" s="16" t="s">
        <v>12</v>
      </c>
      <c r="C168" s="31">
        <v>46243</v>
      </c>
      <c r="D168" s="17">
        <v>75686.850000000006</v>
      </c>
      <c r="E168" s="17">
        <v>0</v>
      </c>
      <c r="F168" s="17">
        <v>3629.89</v>
      </c>
      <c r="G168" s="17">
        <v>0</v>
      </c>
      <c r="H168" s="17">
        <f t="shared" si="6"/>
        <v>72056.960000000006</v>
      </c>
      <c r="I168" s="17">
        <v>71916.23</v>
      </c>
      <c r="J168" s="17">
        <f t="shared" si="7"/>
        <v>-140.73000000001048</v>
      </c>
      <c r="K168" s="23">
        <f t="shared" si="8"/>
        <v>-3.8769769882836806E-2</v>
      </c>
      <c r="L168" s="17">
        <f>SUMIFS('Registros manuales'!$D$5:$D$104,'Registros manuales'!$A$5:$A$104,A168,'Registros manuales'!$B$5:$B$104,B168,'Registros manuales'!$C$5:$C$104,C168)</f>
        <v>0</v>
      </c>
    </row>
    <row r="169" spans="1:12" x14ac:dyDescent="0.3">
      <c r="A169" s="16" t="s">
        <v>23</v>
      </c>
      <c r="B169" s="16" t="s">
        <v>12</v>
      </c>
      <c r="C169" s="31">
        <v>46244</v>
      </c>
      <c r="D169" s="17">
        <v>71916.23</v>
      </c>
      <c r="E169" s="17">
        <v>0</v>
      </c>
      <c r="F169" s="17">
        <v>11723.21</v>
      </c>
      <c r="G169" s="17">
        <v>0</v>
      </c>
      <c r="H169" s="17">
        <f t="shared" si="6"/>
        <v>60193.02</v>
      </c>
      <c r="I169" s="17">
        <v>59687.93</v>
      </c>
      <c r="J169" s="17">
        <f t="shared" si="7"/>
        <v>-505.08999999999651</v>
      </c>
      <c r="K169" s="23">
        <f t="shared" si="8"/>
        <v>-4.3084615902981911E-2</v>
      </c>
      <c r="L169" s="17">
        <f>SUMIFS('Registros manuales'!$D$5:$D$104,'Registros manuales'!$A$5:$A$104,A169,'Registros manuales'!$B$5:$B$104,B169,'Registros manuales'!$C$5:$C$104,C169)</f>
        <v>0</v>
      </c>
    </row>
    <row r="170" spans="1:12" x14ac:dyDescent="0.3">
      <c r="A170" s="16" t="s">
        <v>23</v>
      </c>
      <c r="B170" s="16" t="s">
        <v>12</v>
      </c>
      <c r="C170" s="31">
        <v>46245</v>
      </c>
      <c r="D170" s="17">
        <v>59687.93</v>
      </c>
      <c r="E170" s="17">
        <v>0</v>
      </c>
      <c r="F170" s="17">
        <v>10083.290000000001</v>
      </c>
      <c r="G170" s="17">
        <v>0</v>
      </c>
      <c r="H170" s="17">
        <f t="shared" si="6"/>
        <v>49604.639999999999</v>
      </c>
      <c r="I170" s="17">
        <v>49062.720000000001</v>
      </c>
      <c r="J170" s="17">
        <f t="shared" si="7"/>
        <v>-541.91999999999825</v>
      </c>
      <c r="K170" s="23">
        <f t="shared" si="8"/>
        <v>-5.3744363198916047E-2</v>
      </c>
      <c r="L170" s="17">
        <f>SUMIFS('Registros manuales'!$D$5:$D$104,'Registros manuales'!$A$5:$A$104,A170,'Registros manuales'!$B$5:$B$104,B170,'Registros manuales'!$C$5:$C$104,C170)</f>
        <v>0</v>
      </c>
    </row>
    <row r="171" spans="1:12" x14ac:dyDescent="0.3">
      <c r="A171" s="16" t="s">
        <v>23</v>
      </c>
      <c r="B171" s="16" t="s">
        <v>12</v>
      </c>
      <c r="C171" s="31">
        <v>46246</v>
      </c>
      <c r="D171" s="17">
        <v>49062.720000000001</v>
      </c>
      <c r="E171" s="17">
        <v>29953</v>
      </c>
      <c r="F171" s="17">
        <v>11222.02</v>
      </c>
      <c r="G171" s="17">
        <v>0</v>
      </c>
      <c r="H171" s="17">
        <f t="shared" si="6"/>
        <v>67793.7</v>
      </c>
      <c r="I171" s="17">
        <v>68511.63</v>
      </c>
      <c r="J171" s="17">
        <f t="shared" si="7"/>
        <v>717.93000000000757</v>
      </c>
      <c r="K171" s="23">
        <f t="shared" si="8"/>
        <v>6.3975113214912074E-2</v>
      </c>
      <c r="L171" s="17">
        <f>SUMIFS('Registros manuales'!$D$5:$D$104,'Registros manuales'!$A$5:$A$104,A171,'Registros manuales'!$B$5:$B$104,B171,'Registros manuales'!$C$5:$C$104,C171)</f>
        <v>0</v>
      </c>
    </row>
    <row r="172" spans="1:12" x14ac:dyDescent="0.3">
      <c r="A172" s="16" t="s">
        <v>23</v>
      </c>
      <c r="B172" s="16" t="s">
        <v>12</v>
      </c>
      <c r="C172" s="31">
        <v>46247</v>
      </c>
      <c r="D172" s="17">
        <v>68511.63</v>
      </c>
      <c r="E172" s="17">
        <v>0</v>
      </c>
      <c r="F172" s="17">
        <v>9604.3700000000008</v>
      </c>
      <c r="G172" s="17">
        <v>0</v>
      </c>
      <c r="H172" s="17">
        <f t="shared" si="6"/>
        <v>58907.26</v>
      </c>
      <c r="I172" s="17">
        <v>58459.11</v>
      </c>
      <c r="J172" s="17">
        <f t="shared" si="7"/>
        <v>-448.15000000000146</v>
      </c>
      <c r="K172" s="23">
        <f t="shared" si="8"/>
        <v>-4.6661051167333351E-2</v>
      </c>
      <c r="L172" s="17">
        <f>SUMIFS('Registros manuales'!$D$5:$D$104,'Registros manuales'!$A$5:$A$104,A172,'Registros manuales'!$B$5:$B$104,B172,'Registros manuales'!$C$5:$C$104,C172)</f>
        <v>0</v>
      </c>
    </row>
    <row r="173" spans="1:12" x14ac:dyDescent="0.3">
      <c r="A173" s="16" t="s">
        <v>23</v>
      </c>
      <c r="B173" s="16" t="s">
        <v>12</v>
      </c>
      <c r="C173" s="31">
        <v>46248</v>
      </c>
      <c r="D173" s="17">
        <v>58459.11</v>
      </c>
      <c r="E173" s="17">
        <v>0</v>
      </c>
      <c r="F173" s="17">
        <v>11455.57</v>
      </c>
      <c r="G173" s="17">
        <v>0</v>
      </c>
      <c r="H173" s="17">
        <f t="shared" si="6"/>
        <v>47003.54</v>
      </c>
      <c r="I173" s="17">
        <v>46511.83</v>
      </c>
      <c r="J173" s="17">
        <f t="shared" si="7"/>
        <v>-491.70999999999913</v>
      </c>
      <c r="K173" s="23">
        <f t="shared" si="8"/>
        <v>-4.292322424811678E-2</v>
      </c>
      <c r="L173" s="17">
        <f>SUMIFS('Registros manuales'!$D$5:$D$104,'Registros manuales'!$A$5:$A$104,A173,'Registros manuales'!$B$5:$B$104,B173,'Registros manuales'!$C$5:$C$104,C173)</f>
        <v>0</v>
      </c>
    </row>
    <row r="174" spans="1:12" x14ac:dyDescent="0.3">
      <c r="A174" s="16" t="s">
        <v>23</v>
      </c>
      <c r="B174" s="16" t="s">
        <v>12</v>
      </c>
      <c r="C174" s="31">
        <v>46249</v>
      </c>
      <c r="D174" s="17">
        <v>46511.83</v>
      </c>
      <c r="E174" s="17">
        <v>29894</v>
      </c>
      <c r="F174" s="17">
        <v>6263.86</v>
      </c>
      <c r="G174" s="17">
        <v>0</v>
      </c>
      <c r="H174" s="17">
        <f t="shared" si="6"/>
        <v>70141.97</v>
      </c>
      <c r="I174" s="17">
        <v>71088.009999999995</v>
      </c>
      <c r="J174" s="17">
        <f t="shared" si="7"/>
        <v>946.0399999999936</v>
      </c>
      <c r="K174" s="23">
        <f t="shared" si="8"/>
        <v>0.15103147260634714</v>
      </c>
      <c r="L174" s="17">
        <f>SUMIFS('Registros manuales'!$D$5:$D$104,'Registros manuales'!$A$5:$A$104,A174,'Registros manuales'!$B$5:$B$104,B174,'Registros manuales'!$C$5:$C$104,C174)</f>
        <v>0</v>
      </c>
    </row>
    <row r="175" spans="1:12" x14ac:dyDescent="0.3">
      <c r="A175" s="16" t="s">
        <v>23</v>
      </c>
      <c r="B175" s="16" t="s">
        <v>12</v>
      </c>
      <c r="C175" s="31">
        <v>46250</v>
      </c>
      <c r="D175" s="17">
        <v>71088.009999999995</v>
      </c>
      <c r="E175" s="17">
        <v>0</v>
      </c>
      <c r="F175" s="17">
        <v>2625.25</v>
      </c>
      <c r="G175" s="17">
        <v>0</v>
      </c>
      <c r="H175" s="17">
        <f t="shared" si="6"/>
        <v>68462.759999999995</v>
      </c>
      <c r="I175" s="17">
        <v>68343.66</v>
      </c>
      <c r="J175" s="17">
        <f t="shared" si="7"/>
        <v>-119.09999999999127</v>
      </c>
      <c r="K175" s="23">
        <f t="shared" si="8"/>
        <v>-4.5367107894482915E-2</v>
      </c>
      <c r="L175" s="17">
        <f>SUMIFS('Registros manuales'!$D$5:$D$104,'Registros manuales'!$A$5:$A$104,A175,'Registros manuales'!$B$5:$B$104,B175,'Registros manuales'!$C$5:$C$104,C175)</f>
        <v>0</v>
      </c>
    </row>
    <row r="176" spans="1:12" x14ac:dyDescent="0.3">
      <c r="A176" s="16" t="s">
        <v>23</v>
      </c>
      <c r="B176" s="16" t="s">
        <v>12</v>
      </c>
      <c r="C176" s="31">
        <v>46251</v>
      </c>
      <c r="D176" s="17">
        <v>68343.66</v>
      </c>
      <c r="E176" s="17">
        <v>0</v>
      </c>
      <c r="F176" s="17">
        <v>12900.52</v>
      </c>
      <c r="G176" s="17">
        <v>0</v>
      </c>
      <c r="H176" s="17">
        <f t="shared" si="6"/>
        <v>55443.14</v>
      </c>
      <c r="I176" s="17">
        <v>54822.06</v>
      </c>
      <c r="J176" s="17">
        <f t="shared" si="7"/>
        <v>-621.08000000000175</v>
      </c>
      <c r="K176" s="23">
        <f t="shared" si="8"/>
        <v>-4.8143795753969744E-2</v>
      </c>
      <c r="L176" s="17">
        <f>SUMIFS('Registros manuales'!$D$5:$D$104,'Registros manuales'!$A$5:$A$104,A176,'Registros manuales'!$B$5:$B$104,B176,'Registros manuales'!$C$5:$C$104,C176)</f>
        <v>0</v>
      </c>
    </row>
    <row r="177" spans="1:12" x14ac:dyDescent="0.3">
      <c r="A177" s="16" t="s">
        <v>23</v>
      </c>
      <c r="B177" s="16" t="s">
        <v>12</v>
      </c>
      <c r="C177" s="31">
        <v>46252</v>
      </c>
      <c r="D177" s="17">
        <v>54822.06</v>
      </c>
      <c r="E177" s="17">
        <v>0</v>
      </c>
      <c r="F177" s="17">
        <v>10647.05</v>
      </c>
      <c r="G177" s="17">
        <v>0</v>
      </c>
      <c r="H177" s="17">
        <f t="shared" si="6"/>
        <v>44175.009999999995</v>
      </c>
      <c r="I177" s="17">
        <v>43694.13</v>
      </c>
      <c r="J177" s="17">
        <f t="shared" si="7"/>
        <v>-480.87999999999738</v>
      </c>
      <c r="K177" s="23">
        <f t="shared" si="8"/>
        <v>-4.516556229190221E-2</v>
      </c>
      <c r="L177" s="17">
        <f>SUMIFS('Registros manuales'!$D$5:$D$104,'Registros manuales'!$A$5:$A$104,A177,'Registros manuales'!$B$5:$B$104,B177,'Registros manuales'!$C$5:$C$104,C177)</f>
        <v>0</v>
      </c>
    </row>
    <row r="178" spans="1:12" x14ac:dyDescent="0.3">
      <c r="A178" s="16" t="s">
        <v>23</v>
      </c>
      <c r="B178" s="16" t="s">
        <v>12</v>
      </c>
      <c r="C178" s="31">
        <v>46253</v>
      </c>
      <c r="D178" s="17">
        <v>43694.13</v>
      </c>
      <c r="E178" s="17">
        <v>0</v>
      </c>
      <c r="F178" s="17">
        <v>7182.46</v>
      </c>
      <c r="G178" s="17">
        <v>0</v>
      </c>
      <c r="H178" s="17">
        <f t="shared" si="6"/>
        <v>36511.67</v>
      </c>
      <c r="I178" s="17">
        <v>67370.600000000006</v>
      </c>
      <c r="J178" s="17">
        <f t="shared" si="7"/>
        <v>30858.930000000008</v>
      </c>
      <c r="K178" s="23">
        <f t="shared" si="8"/>
        <v>4.2964290786165193</v>
      </c>
      <c r="L178" s="17">
        <f>SUMIFS('Registros manuales'!$D$5:$D$104,'Registros manuales'!$A$5:$A$104,A178,'Registros manuales'!$B$5:$B$104,B178,'Registros manuales'!$C$5:$C$104,C178)</f>
        <v>0</v>
      </c>
    </row>
    <row r="179" spans="1:12" x14ac:dyDescent="0.3">
      <c r="A179" s="16" t="s">
        <v>23</v>
      </c>
      <c r="B179" s="16" t="s">
        <v>12</v>
      </c>
      <c r="C179" s="31">
        <v>46254</v>
      </c>
      <c r="D179" s="17">
        <v>67370.600000000006</v>
      </c>
      <c r="E179" s="17">
        <v>29966</v>
      </c>
      <c r="F179" s="17">
        <v>7313.16</v>
      </c>
      <c r="G179" s="17">
        <v>0</v>
      </c>
      <c r="H179" s="17">
        <f t="shared" si="6"/>
        <v>90023.44</v>
      </c>
      <c r="I179" s="17">
        <v>59741.8</v>
      </c>
      <c r="J179" s="17">
        <f t="shared" si="7"/>
        <v>-30281.64</v>
      </c>
      <c r="K179" s="23">
        <f t="shared" si="8"/>
        <v>-4.1407052491672545</v>
      </c>
      <c r="L179" s="17">
        <f>SUMIFS('Registros manuales'!$D$5:$D$104,'Registros manuales'!$A$5:$A$104,A179,'Registros manuales'!$B$5:$B$104,B179,'Registros manuales'!$C$5:$C$104,C179)</f>
        <v>0</v>
      </c>
    </row>
    <row r="180" spans="1:12" x14ac:dyDescent="0.3">
      <c r="A180" s="16" t="s">
        <v>23</v>
      </c>
      <c r="B180" s="16" t="s">
        <v>12</v>
      </c>
      <c r="C180" s="31">
        <v>46255</v>
      </c>
      <c r="D180" s="17">
        <v>59741.8</v>
      </c>
      <c r="E180" s="17">
        <v>0</v>
      </c>
      <c r="F180" s="17">
        <v>11908.41</v>
      </c>
      <c r="G180" s="17">
        <v>0</v>
      </c>
      <c r="H180" s="17">
        <f t="shared" si="6"/>
        <v>47833.39</v>
      </c>
      <c r="I180" s="17">
        <v>47224.51</v>
      </c>
      <c r="J180" s="17">
        <f t="shared" si="7"/>
        <v>-608.87999999999738</v>
      </c>
      <c r="K180" s="23">
        <f t="shared" si="8"/>
        <v>-5.1130251645685479E-2</v>
      </c>
      <c r="L180" s="17">
        <f>SUMIFS('Registros manuales'!$D$5:$D$104,'Registros manuales'!$A$5:$A$104,A180,'Registros manuales'!$B$5:$B$104,B180,'Registros manuales'!$C$5:$C$104,C180)</f>
        <v>0</v>
      </c>
    </row>
    <row r="181" spans="1:12" x14ac:dyDescent="0.3">
      <c r="A181" s="16" t="s">
        <v>23</v>
      </c>
      <c r="B181" s="16" t="s">
        <v>12</v>
      </c>
      <c r="C181" s="31">
        <v>46256</v>
      </c>
      <c r="D181" s="17">
        <v>47224.51</v>
      </c>
      <c r="E181" s="17">
        <v>29915</v>
      </c>
      <c r="F181" s="17">
        <v>4153.01</v>
      </c>
      <c r="G181" s="17">
        <v>0</v>
      </c>
      <c r="H181" s="17">
        <f t="shared" si="6"/>
        <v>72986.500000000015</v>
      </c>
      <c r="I181" s="17">
        <v>73959.13</v>
      </c>
      <c r="J181" s="17">
        <f t="shared" si="7"/>
        <v>972.6299999999901</v>
      </c>
      <c r="K181" s="23">
        <f t="shared" si="8"/>
        <v>0.23419881001971823</v>
      </c>
      <c r="L181" s="17">
        <f>SUMIFS('Registros manuales'!$D$5:$D$104,'Registros manuales'!$A$5:$A$104,A181,'Registros manuales'!$B$5:$B$104,B181,'Registros manuales'!$C$5:$C$104,C181)</f>
        <v>0</v>
      </c>
    </row>
    <row r="182" spans="1:12" x14ac:dyDescent="0.3">
      <c r="A182" s="16" t="s">
        <v>23</v>
      </c>
      <c r="B182" s="16" t="s">
        <v>12</v>
      </c>
      <c r="C182" s="31">
        <v>46257</v>
      </c>
      <c r="D182" s="17">
        <v>73959.13</v>
      </c>
      <c r="E182" s="17">
        <v>0</v>
      </c>
      <c r="F182" s="17">
        <v>3995.07</v>
      </c>
      <c r="G182" s="17">
        <v>0</v>
      </c>
      <c r="H182" s="17">
        <f t="shared" si="6"/>
        <v>69964.06</v>
      </c>
      <c r="I182" s="17">
        <v>69802.73</v>
      </c>
      <c r="J182" s="17">
        <f t="shared" si="7"/>
        <v>-161.33000000000175</v>
      </c>
      <c r="K182" s="23">
        <f t="shared" si="8"/>
        <v>-4.0382271149191816E-2</v>
      </c>
      <c r="L182" s="17">
        <f>SUMIFS('Registros manuales'!$D$5:$D$104,'Registros manuales'!$A$5:$A$104,A182,'Registros manuales'!$B$5:$B$104,B182,'Registros manuales'!$C$5:$C$104,C182)</f>
        <v>0</v>
      </c>
    </row>
    <row r="183" spans="1:12" x14ac:dyDescent="0.3">
      <c r="A183" s="16" t="s">
        <v>23</v>
      </c>
      <c r="B183" s="16" t="s">
        <v>12</v>
      </c>
      <c r="C183" s="31">
        <v>46258</v>
      </c>
      <c r="D183" s="17">
        <v>69802.73</v>
      </c>
      <c r="E183" s="17">
        <v>0</v>
      </c>
      <c r="F183" s="17">
        <v>11068.95</v>
      </c>
      <c r="G183" s="17">
        <v>0</v>
      </c>
      <c r="H183" s="17">
        <f t="shared" si="6"/>
        <v>58733.78</v>
      </c>
      <c r="I183" s="17">
        <v>58230.080000000002</v>
      </c>
      <c r="J183" s="17">
        <f t="shared" si="7"/>
        <v>-503.69999999999709</v>
      </c>
      <c r="K183" s="23">
        <f t="shared" si="8"/>
        <v>-4.5505671269632356E-2</v>
      </c>
      <c r="L183" s="17">
        <f>SUMIFS('Registros manuales'!$D$5:$D$104,'Registros manuales'!$A$5:$A$104,A183,'Registros manuales'!$B$5:$B$104,B183,'Registros manuales'!$C$5:$C$104,C183)</f>
        <v>0</v>
      </c>
    </row>
    <row r="184" spans="1:12" x14ac:dyDescent="0.3">
      <c r="A184" s="16" t="s">
        <v>23</v>
      </c>
      <c r="B184" s="16" t="s">
        <v>12</v>
      </c>
      <c r="C184" s="31">
        <v>46259</v>
      </c>
      <c r="D184" s="17">
        <v>58230.080000000002</v>
      </c>
      <c r="E184" s="17">
        <v>0</v>
      </c>
      <c r="F184" s="17">
        <v>7984.46</v>
      </c>
      <c r="G184" s="17">
        <v>0</v>
      </c>
      <c r="H184" s="17">
        <f t="shared" si="6"/>
        <v>50245.62</v>
      </c>
      <c r="I184" s="17">
        <v>49921.39</v>
      </c>
      <c r="J184" s="17">
        <f t="shared" si="7"/>
        <v>-324.2300000000032</v>
      </c>
      <c r="K184" s="23">
        <f t="shared" si="8"/>
        <v>-4.0607630321900692E-2</v>
      </c>
      <c r="L184" s="17">
        <f>SUMIFS('Registros manuales'!$D$5:$D$104,'Registros manuales'!$A$5:$A$104,A184,'Registros manuales'!$B$5:$B$104,B184,'Registros manuales'!$C$5:$C$104,C184)</f>
        <v>0</v>
      </c>
    </row>
    <row r="185" spans="1:12" x14ac:dyDescent="0.3">
      <c r="A185" s="16" t="s">
        <v>23</v>
      </c>
      <c r="B185" s="16" t="s">
        <v>12</v>
      </c>
      <c r="C185" s="31">
        <v>46260</v>
      </c>
      <c r="D185" s="17">
        <v>49921.39</v>
      </c>
      <c r="E185" s="17">
        <v>29912</v>
      </c>
      <c r="F185" s="17">
        <v>10804.85</v>
      </c>
      <c r="G185" s="17">
        <v>0</v>
      </c>
      <c r="H185" s="17">
        <f t="shared" si="6"/>
        <v>69028.539999999994</v>
      </c>
      <c r="I185" s="17">
        <v>69683.69</v>
      </c>
      <c r="J185" s="17">
        <f t="shared" si="7"/>
        <v>655.15000000000873</v>
      </c>
      <c r="K185" s="23">
        <f t="shared" si="8"/>
        <v>6.0634807516995487E-2</v>
      </c>
      <c r="L185" s="17">
        <f>SUMIFS('Registros manuales'!$D$5:$D$104,'Registros manuales'!$A$5:$A$104,A185,'Registros manuales'!$B$5:$B$104,B185,'Registros manuales'!$C$5:$C$104,C185)</f>
        <v>0</v>
      </c>
    </row>
    <row r="186" spans="1:12" x14ac:dyDescent="0.3">
      <c r="A186" s="16" t="s">
        <v>23</v>
      </c>
      <c r="B186" s="16" t="s">
        <v>12</v>
      </c>
      <c r="C186" s="31">
        <v>46261</v>
      </c>
      <c r="D186" s="17">
        <v>69683.69</v>
      </c>
      <c r="E186" s="17">
        <v>0</v>
      </c>
      <c r="F186" s="17">
        <v>9199.64</v>
      </c>
      <c r="G186" s="17">
        <v>0</v>
      </c>
      <c r="H186" s="17">
        <f t="shared" si="6"/>
        <v>60484.05</v>
      </c>
      <c r="I186" s="17">
        <v>60167.05</v>
      </c>
      <c r="J186" s="17">
        <f t="shared" si="7"/>
        <v>-317</v>
      </c>
      <c r="K186" s="23">
        <f t="shared" si="8"/>
        <v>-3.4457870090568762E-2</v>
      </c>
      <c r="L186" s="17">
        <f>SUMIFS('Registros manuales'!$D$5:$D$104,'Registros manuales'!$A$5:$A$104,A186,'Registros manuales'!$B$5:$B$104,B186,'Registros manuales'!$C$5:$C$104,C186)</f>
        <v>0</v>
      </c>
    </row>
    <row r="187" spans="1:12" x14ac:dyDescent="0.3">
      <c r="A187" s="16" t="s">
        <v>23</v>
      </c>
      <c r="B187" s="16" t="s">
        <v>12</v>
      </c>
      <c r="C187" s="31">
        <v>46262</v>
      </c>
      <c r="D187" s="17">
        <v>60167.05</v>
      </c>
      <c r="E187" s="17">
        <v>0</v>
      </c>
      <c r="F187" s="17">
        <v>13186.93</v>
      </c>
      <c r="G187" s="17">
        <v>0</v>
      </c>
      <c r="H187" s="17">
        <f t="shared" si="6"/>
        <v>46980.12</v>
      </c>
      <c r="I187" s="17">
        <v>46427.55</v>
      </c>
      <c r="J187" s="17">
        <f t="shared" si="7"/>
        <v>-552.56999999999971</v>
      </c>
      <c r="K187" s="23">
        <f t="shared" si="8"/>
        <v>-4.1902853810553302E-2</v>
      </c>
      <c r="L187" s="17">
        <f>SUMIFS('Registros manuales'!$D$5:$D$104,'Registros manuales'!$A$5:$A$104,A187,'Registros manuales'!$B$5:$B$104,B187,'Registros manuales'!$C$5:$C$104,C187)</f>
        <v>0</v>
      </c>
    </row>
    <row r="188" spans="1:12" x14ac:dyDescent="0.3">
      <c r="A188" s="16" t="s">
        <v>23</v>
      </c>
      <c r="B188" s="16" t="s">
        <v>12</v>
      </c>
      <c r="C188" s="31">
        <v>46263</v>
      </c>
      <c r="D188" s="17">
        <v>46427.55</v>
      </c>
      <c r="E188" s="17">
        <v>30094</v>
      </c>
      <c r="F188" s="17">
        <v>8092.39</v>
      </c>
      <c r="G188" s="17">
        <v>0</v>
      </c>
      <c r="H188" s="17">
        <f t="shared" si="6"/>
        <v>68429.16</v>
      </c>
      <c r="I188" s="17">
        <v>69168.039999999994</v>
      </c>
      <c r="J188" s="17">
        <f t="shared" si="7"/>
        <v>738.8799999999901</v>
      </c>
      <c r="K188" s="23">
        <f t="shared" si="8"/>
        <v>9.1305535200353671E-2</v>
      </c>
      <c r="L188" s="17">
        <f>SUMIFS('Registros manuales'!$D$5:$D$104,'Registros manuales'!$A$5:$A$104,A188,'Registros manuales'!$B$5:$B$104,B188,'Registros manuales'!$C$5:$C$104,C188)</f>
        <v>0</v>
      </c>
    </row>
    <row r="189" spans="1:12" x14ac:dyDescent="0.3">
      <c r="A189" s="16" t="s">
        <v>23</v>
      </c>
      <c r="B189" s="16" t="s">
        <v>12</v>
      </c>
      <c r="C189" s="31">
        <v>46264</v>
      </c>
      <c r="D189" s="17">
        <v>69168.039999999994</v>
      </c>
      <c r="E189" s="17">
        <v>0</v>
      </c>
      <c r="F189" s="17">
        <v>3765.88</v>
      </c>
      <c r="G189" s="17">
        <v>0</v>
      </c>
      <c r="H189" s="17">
        <f t="shared" si="6"/>
        <v>65402.159999999996</v>
      </c>
      <c r="I189" s="17">
        <v>65262.71</v>
      </c>
      <c r="J189" s="17">
        <f t="shared" si="7"/>
        <v>-139.44999999999709</v>
      </c>
      <c r="K189" s="23">
        <f t="shared" si="8"/>
        <v>-3.702985756317171E-2</v>
      </c>
      <c r="L189" s="17">
        <f>SUMIFS('Registros manuales'!$D$5:$D$104,'Registros manuales'!$A$5:$A$104,A189,'Registros manuales'!$B$5:$B$104,B189,'Registros manuales'!$C$5:$C$104,C189)</f>
        <v>0</v>
      </c>
    </row>
    <row r="190" spans="1:12" x14ac:dyDescent="0.3">
      <c r="A190" s="16" t="s">
        <v>23</v>
      </c>
      <c r="B190" s="16" t="s">
        <v>12</v>
      </c>
      <c r="C190" s="31">
        <v>46265</v>
      </c>
      <c r="D190" s="17">
        <v>65262.71</v>
      </c>
      <c r="E190" s="17">
        <v>0</v>
      </c>
      <c r="F190" s="17">
        <v>11735.68</v>
      </c>
      <c r="G190" s="17">
        <v>0</v>
      </c>
      <c r="H190" s="17">
        <f t="shared" si="6"/>
        <v>53527.03</v>
      </c>
      <c r="I190" s="17">
        <v>53082.78</v>
      </c>
      <c r="J190" s="17">
        <f t="shared" si="7"/>
        <v>-444.25</v>
      </c>
      <c r="K190" s="23">
        <f t="shared" si="8"/>
        <v>-3.7854644980094887E-2</v>
      </c>
      <c r="L190" s="17">
        <f>SUMIFS('Registros manuales'!$D$5:$D$104,'Registros manuales'!$A$5:$A$104,A190,'Registros manuales'!$B$5:$B$104,B190,'Registros manuales'!$C$5:$C$104,C190)</f>
        <v>0</v>
      </c>
    </row>
    <row r="191" spans="1:12" x14ac:dyDescent="0.3">
      <c r="A191" s="16" t="s">
        <v>24</v>
      </c>
      <c r="B191" s="16" t="s">
        <v>10</v>
      </c>
      <c r="C191" s="31">
        <v>46235</v>
      </c>
      <c r="D191" s="17">
        <v>164102.01</v>
      </c>
      <c r="E191" s="17">
        <v>29954</v>
      </c>
      <c r="F191" s="17">
        <v>22987.86</v>
      </c>
      <c r="G191" s="17">
        <v>0</v>
      </c>
      <c r="H191" s="17">
        <f t="shared" si="6"/>
        <v>171068.15000000002</v>
      </c>
      <c r="I191" s="17">
        <v>171383.64</v>
      </c>
      <c r="J191" s="17">
        <f t="shared" si="7"/>
        <v>315.48999999999069</v>
      </c>
      <c r="K191" s="23">
        <f t="shared" si="8"/>
        <v>1.3724200512791999E-2</v>
      </c>
      <c r="L191" s="17">
        <f>SUMIFS('Registros manuales'!$D$5:$D$104,'Registros manuales'!$A$5:$A$104,A191,'Registros manuales'!$B$5:$B$104,B191,'Registros manuales'!$C$5:$C$104,C191)</f>
        <v>0</v>
      </c>
    </row>
    <row r="192" spans="1:12" x14ac:dyDescent="0.3">
      <c r="A192" s="16" t="s">
        <v>24</v>
      </c>
      <c r="B192" s="16" t="s">
        <v>10</v>
      </c>
      <c r="C192" s="31">
        <v>46236</v>
      </c>
      <c r="D192" s="17">
        <v>171383.64</v>
      </c>
      <c r="E192" s="17">
        <v>0</v>
      </c>
      <c r="F192" s="17">
        <v>21698.14</v>
      </c>
      <c r="G192" s="17">
        <v>0</v>
      </c>
      <c r="H192" s="17">
        <f t="shared" si="6"/>
        <v>149685.5</v>
      </c>
      <c r="I192" s="17">
        <v>149214.76</v>
      </c>
      <c r="J192" s="17">
        <f t="shared" si="7"/>
        <v>-470.73999999999069</v>
      </c>
      <c r="K192" s="23">
        <f t="shared" si="8"/>
        <v>-2.1694947124499642E-2</v>
      </c>
      <c r="L192" s="17">
        <f>SUMIFS('Registros manuales'!$D$5:$D$104,'Registros manuales'!$A$5:$A$104,A192,'Registros manuales'!$B$5:$B$104,B192,'Registros manuales'!$C$5:$C$104,C192)</f>
        <v>0</v>
      </c>
    </row>
    <row r="193" spans="1:12" x14ac:dyDescent="0.3">
      <c r="A193" s="16" t="s">
        <v>24</v>
      </c>
      <c r="B193" s="16" t="s">
        <v>10</v>
      </c>
      <c r="C193" s="31">
        <v>46237</v>
      </c>
      <c r="D193" s="17">
        <v>149214.76</v>
      </c>
      <c r="E193" s="17">
        <v>0</v>
      </c>
      <c r="F193" s="17">
        <v>19660.86</v>
      </c>
      <c r="G193" s="17">
        <v>0</v>
      </c>
      <c r="H193" s="17">
        <f t="shared" si="6"/>
        <v>129553.90000000001</v>
      </c>
      <c r="I193" s="17">
        <v>129262.55</v>
      </c>
      <c r="J193" s="17">
        <f t="shared" si="7"/>
        <v>-291.35000000000582</v>
      </c>
      <c r="K193" s="23">
        <f t="shared" si="8"/>
        <v>-1.4818782087864205E-2</v>
      </c>
      <c r="L193" s="17">
        <f>SUMIFS('Registros manuales'!$D$5:$D$104,'Registros manuales'!$A$5:$A$104,A193,'Registros manuales'!$B$5:$B$104,B193,'Registros manuales'!$C$5:$C$104,C193)</f>
        <v>0</v>
      </c>
    </row>
    <row r="194" spans="1:12" x14ac:dyDescent="0.3">
      <c r="A194" s="16" t="s">
        <v>24</v>
      </c>
      <c r="B194" s="16" t="s">
        <v>10</v>
      </c>
      <c r="C194" s="31">
        <v>46238</v>
      </c>
      <c r="D194" s="17">
        <v>129262.55</v>
      </c>
      <c r="E194" s="17">
        <v>33419</v>
      </c>
      <c r="F194" s="17">
        <v>15501.86</v>
      </c>
      <c r="G194" s="17">
        <v>0</v>
      </c>
      <c r="H194" s="17">
        <f t="shared" si="6"/>
        <v>147179.69</v>
      </c>
      <c r="I194" s="17">
        <v>148391.01999999999</v>
      </c>
      <c r="J194" s="17">
        <f t="shared" si="7"/>
        <v>1211.3299999999872</v>
      </c>
      <c r="K194" s="23">
        <f t="shared" si="8"/>
        <v>7.8140945667164272E-2</v>
      </c>
      <c r="L194" s="17">
        <f>SUMIFS('Registros manuales'!$D$5:$D$104,'Registros manuales'!$A$5:$A$104,A194,'Registros manuales'!$B$5:$B$104,B194,'Registros manuales'!$C$5:$C$104,C194)</f>
        <v>0</v>
      </c>
    </row>
    <row r="195" spans="1:12" x14ac:dyDescent="0.3">
      <c r="A195" s="16" t="s">
        <v>24</v>
      </c>
      <c r="B195" s="16" t="s">
        <v>10</v>
      </c>
      <c r="C195" s="31">
        <v>46239</v>
      </c>
      <c r="D195" s="17">
        <v>148391.01999999999</v>
      </c>
      <c r="E195" s="17">
        <v>30115</v>
      </c>
      <c r="F195" s="17">
        <v>16779.61</v>
      </c>
      <c r="G195" s="17">
        <v>0</v>
      </c>
      <c r="H195" s="17">
        <f t="shared" si="6"/>
        <v>161726.40999999997</v>
      </c>
      <c r="I195" s="17">
        <v>160766.39000000001</v>
      </c>
      <c r="J195" s="17">
        <f t="shared" si="7"/>
        <v>-960.01999999996042</v>
      </c>
      <c r="K195" s="23">
        <f t="shared" si="8"/>
        <v>-5.7213487083428063E-2</v>
      </c>
      <c r="L195" s="17">
        <f>SUMIFS('Registros manuales'!$D$5:$D$104,'Registros manuales'!$A$5:$A$104,A195,'Registros manuales'!$B$5:$B$104,B195,'Registros manuales'!$C$5:$C$104,C195)</f>
        <v>0</v>
      </c>
    </row>
    <row r="196" spans="1:12" x14ac:dyDescent="0.3">
      <c r="A196" s="16" t="s">
        <v>24</v>
      </c>
      <c r="B196" s="16" t="s">
        <v>10</v>
      </c>
      <c r="C196" s="31">
        <v>46240</v>
      </c>
      <c r="D196" s="17">
        <v>160766.39000000001</v>
      </c>
      <c r="E196" s="17">
        <v>29962</v>
      </c>
      <c r="F196" s="17">
        <v>18936.48</v>
      </c>
      <c r="G196" s="17">
        <v>0</v>
      </c>
      <c r="H196" s="17">
        <f t="shared" si="6"/>
        <v>171791.91</v>
      </c>
      <c r="I196" s="17">
        <v>172513.98</v>
      </c>
      <c r="J196" s="17">
        <f t="shared" si="7"/>
        <v>722.07000000000698</v>
      </c>
      <c r="K196" s="23">
        <f t="shared" si="8"/>
        <v>3.8131162708169998E-2</v>
      </c>
      <c r="L196" s="17">
        <f>SUMIFS('Registros manuales'!$D$5:$D$104,'Registros manuales'!$A$5:$A$104,A196,'Registros manuales'!$B$5:$B$104,B196,'Registros manuales'!$C$5:$C$104,C196)</f>
        <v>0</v>
      </c>
    </row>
    <row r="197" spans="1:12" x14ac:dyDescent="0.3">
      <c r="A197" s="16" t="s">
        <v>24</v>
      </c>
      <c r="B197" s="16" t="s">
        <v>10</v>
      </c>
      <c r="C197" s="31">
        <v>46241</v>
      </c>
      <c r="D197" s="17">
        <v>172513.98</v>
      </c>
      <c r="E197" s="17">
        <v>0</v>
      </c>
      <c r="F197" s="17">
        <v>23673.9</v>
      </c>
      <c r="G197" s="17">
        <v>0</v>
      </c>
      <c r="H197" s="17">
        <f t="shared" ref="H197:H260" si="9">D197+E197+L197-F197+G197</f>
        <v>148840.08000000002</v>
      </c>
      <c r="I197" s="17">
        <v>148288.66</v>
      </c>
      <c r="J197" s="17">
        <f t="shared" ref="J197:J260" si="10">I197-H197</f>
        <v>-551.42000000001281</v>
      </c>
      <c r="K197" s="23">
        <f t="shared" ref="K197:K260" si="11">IF(F197=0,0,J197/F197)</f>
        <v>-2.3292317700083755E-2</v>
      </c>
      <c r="L197" s="17">
        <f>SUMIFS('Registros manuales'!$D$5:$D$104,'Registros manuales'!$A$5:$A$104,A197,'Registros manuales'!$B$5:$B$104,B197,'Registros manuales'!$C$5:$C$104,C197)</f>
        <v>0</v>
      </c>
    </row>
    <row r="198" spans="1:12" x14ac:dyDescent="0.3">
      <c r="A198" s="16" t="s">
        <v>24</v>
      </c>
      <c r="B198" s="16" t="s">
        <v>10</v>
      </c>
      <c r="C198" s="31">
        <v>46242</v>
      </c>
      <c r="D198" s="17">
        <v>148288.66</v>
      </c>
      <c r="E198" s="17">
        <v>33833</v>
      </c>
      <c r="F198" s="17">
        <v>24477.64</v>
      </c>
      <c r="G198" s="17">
        <v>0</v>
      </c>
      <c r="H198" s="17">
        <f t="shared" si="9"/>
        <v>157644.02000000002</v>
      </c>
      <c r="I198" s="17">
        <v>157050.60999999999</v>
      </c>
      <c r="J198" s="17">
        <f t="shared" si="10"/>
        <v>-593.4100000000326</v>
      </c>
      <c r="K198" s="23">
        <f t="shared" si="11"/>
        <v>-2.4242941721507164E-2</v>
      </c>
      <c r="L198" s="17">
        <f>SUMIFS('Registros manuales'!$D$5:$D$104,'Registros manuales'!$A$5:$A$104,A198,'Registros manuales'!$B$5:$B$104,B198,'Registros manuales'!$C$5:$C$104,C198)</f>
        <v>0</v>
      </c>
    </row>
    <row r="199" spans="1:12" x14ac:dyDescent="0.3">
      <c r="A199" s="16" t="s">
        <v>24</v>
      </c>
      <c r="B199" s="16" t="s">
        <v>10</v>
      </c>
      <c r="C199" s="31">
        <v>46243</v>
      </c>
      <c r="D199" s="17">
        <v>157050.60999999999</v>
      </c>
      <c r="E199" s="17">
        <v>0</v>
      </c>
      <c r="F199" s="17">
        <v>20523.509999999998</v>
      </c>
      <c r="G199" s="17">
        <v>0</v>
      </c>
      <c r="H199" s="17">
        <f t="shared" si="9"/>
        <v>136527.09999999998</v>
      </c>
      <c r="I199" s="17">
        <v>136151.35999999999</v>
      </c>
      <c r="J199" s="17">
        <f t="shared" si="10"/>
        <v>-375.73999999999069</v>
      </c>
      <c r="K199" s="23">
        <f t="shared" si="11"/>
        <v>-1.8307784584605202E-2</v>
      </c>
      <c r="L199" s="17">
        <f>SUMIFS('Registros manuales'!$D$5:$D$104,'Registros manuales'!$A$5:$A$104,A199,'Registros manuales'!$B$5:$B$104,B199,'Registros manuales'!$C$5:$C$104,C199)</f>
        <v>0</v>
      </c>
    </row>
    <row r="200" spans="1:12" x14ac:dyDescent="0.3">
      <c r="A200" s="16" t="s">
        <v>24</v>
      </c>
      <c r="B200" s="16" t="s">
        <v>10</v>
      </c>
      <c r="C200" s="31">
        <v>46244</v>
      </c>
      <c r="D200" s="17">
        <v>136151.35999999999</v>
      </c>
      <c r="E200" s="17">
        <v>0</v>
      </c>
      <c r="F200" s="17">
        <v>16123.73</v>
      </c>
      <c r="G200" s="17">
        <v>0</v>
      </c>
      <c r="H200" s="17">
        <f t="shared" si="9"/>
        <v>120027.62999999999</v>
      </c>
      <c r="I200" s="17">
        <v>119729.29</v>
      </c>
      <c r="J200" s="17">
        <f t="shared" si="10"/>
        <v>-298.33999999999651</v>
      </c>
      <c r="K200" s="23">
        <f t="shared" si="11"/>
        <v>-1.8503162729715552E-2</v>
      </c>
      <c r="L200" s="17">
        <f>SUMIFS('Registros manuales'!$D$5:$D$104,'Registros manuales'!$A$5:$A$104,A200,'Registros manuales'!$B$5:$B$104,B200,'Registros manuales'!$C$5:$C$104,C200)</f>
        <v>0</v>
      </c>
    </row>
    <row r="201" spans="1:12" x14ac:dyDescent="0.3">
      <c r="A201" s="16" t="s">
        <v>24</v>
      </c>
      <c r="B201" s="16" t="s">
        <v>10</v>
      </c>
      <c r="C201" s="31">
        <v>46245</v>
      </c>
      <c r="D201" s="17">
        <v>119729.29</v>
      </c>
      <c r="E201" s="17">
        <v>33341</v>
      </c>
      <c r="F201" s="17">
        <v>16922.650000000001</v>
      </c>
      <c r="G201" s="17">
        <v>0</v>
      </c>
      <c r="H201" s="17">
        <f t="shared" si="9"/>
        <v>136147.63999999998</v>
      </c>
      <c r="I201" s="17">
        <v>136610.91</v>
      </c>
      <c r="J201" s="17">
        <f t="shared" si="10"/>
        <v>463.27000000001863</v>
      </c>
      <c r="K201" s="23">
        <f t="shared" si="11"/>
        <v>2.7375736069706492E-2</v>
      </c>
      <c r="L201" s="17">
        <f>SUMIFS('Registros manuales'!$D$5:$D$104,'Registros manuales'!$A$5:$A$104,A201,'Registros manuales'!$B$5:$B$104,B201,'Registros manuales'!$C$5:$C$104,C201)</f>
        <v>0</v>
      </c>
    </row>
    <row r="202" spans="1:12" x14ac:dyDescent="0.3">
      <c r="A202" s="16" t="s">
        <v>24</v>
      </c>
      <c r="B202" s="16" t="s">
        <v>10</v>
      </c>
      <c r="C202" s="31">
        <v>46246</v>
      </c>
      <c r="D202" s="17">
        <v>136610.91</v>
      </c>
      <c r="E202" s="17">
        <v>0</v>
      </c>
      <c r="F202" s="17">
        <v>16064.69</v>
      </c>
      <c r="G202" s="17">
        <v>0</v>
      </c>
      <c r="H202" s="17">
        <f t="shared" si="9"/>
        <v>120546.22</v>
      </c>
      <c r="I202" s="17">
        <v>120255.37</v>
      </c>
      <c r="J202" s="17">
        <f t="shared" si="10"/>
        <v>-290.85000000000582</v>
      </c>
      <c r="K202" s="23">
        <f t="shared" si="11"/>
        <v>-1.8104924527022049E-2</v>
      </c>
      <c r="L202" s="17">
        <f>SUMIFS('Registros manuales'!$D$5:$D$104,'Registros manuales'!$A$5:$A$104,A202,'Registros manuales'!$B$5:$B$104,B202,'Registros manuales'!$C$5:$C$104,C202)</f>
        <v>0</v>
      </c>
    </row>
    <row r="203" spans="1:12" x14ac:dyDescent="0.3">
      <c r="A203" s="16" t="s">
        <v>24</v>
      </c>
      <c r="B203" s="16" t="s">
        <v>10</v>
      </c>
      <c r="C203" s="31">
        <v>46247</v>
      </c>
      <c r="D203" s="17">
        <v>120255.37</v>
      </c>
      <c r="E203" s="17">
        <v>33385</v>
      </c>
      <c r="F203" s="17">
        <v>19283.490000000002</v>
      </c>
      <c r="G203" s="17">
        <v>0</v>
      </c>
      <c r="H203" s="17">
        <f t="shared" si="9"/>
        <v>134356.88</v>
      </c>
      <c r="I203" s="17">
        <v>134661.09</v>
      </c>
      <c r="J203" s="17">
        <f t="shared" si="10"/>
        <v>304.20999999999185</v>
      </c>
      <c r="K203" s="23">
        <f t="shared" si="11"/>
        <v>1.5775671312609481E-2</v>
      </c>
      <c r="L203" s="17">
        <f>SUMIFS('Registros manuales'!$D$5:$D$104,'Registros manuales'!$A$5:$A$104,A203,'Registros manuales'!$B$5:$B$104,B203,'Registros manuales'!$C$5:$C$104,C203)</f>
        <v>0</v>
      </c>
    </row>
    <row r="204" spans="1:12" x14ac:dyDescent="0.3">
      <c r="A204" s="16" t="s">
        <v>24</v>
      </c>
      <c r="B204" s="16" t="s">
        <v>10</v>
      </c>
      <c r="C204" s="31">
        <v>46248</v>
      </c>
      <c r="D204" s="17">
        <v>134661.09</v>
      </c>
      <c r="E204" s="17">
        <v>33450</v>
      </c>
      <c r="F204" s="17">
        <v>23739.22</v>
      </c>
      <c r="G204" s="17">
        <v>0</v>
      </c>
      <c r="H204" s="17">
        <f t="shared" si="9"/>
        <v>144371.87</v>
      </c>
      <c r="I204" s="17">
        <v>145756.72</v>
      </c>
      <c r="J204" s="17">
        <f t="shared" si="10"/>
        <v>1384.8500000000058</v>
      </c>
      <c r="K204" s="23">
        <f t="shared" si="11"/>
        <v>5.8335952065822122E-2</v>
      </c>
      <c r="L204" s="17">
        <f>SUMIFS('Registros manuales'!$D$5:$D$104,'Registros manuales'!$A$5:$A$104,A204,'Registros manuales'!$B$5:$B$104,B204,'Registros manuales'!$C$5:$C$104,C204)</f>
        <v>0</v>
      </c>
    </row>
    <row r="205" spans="1:12" x14ac:dyDescent="0.3">
      <c r="A205" s="16" t="s">
        <v>24</v>
      </c>
      <c r="B205" s="16" t="s">
        <v>10</v>
      </c>
      <c r="C205" s="31">
        <v>46249</v>
      </c>
      <c r="D205" s="17">
        <v>145756.72</v>
      </c>
      <c r="E205" s="17">
        <v>27801</v>
      </c>
      <c r="F205" s="17">
        <v>22491.03</v>
      </c>
      <c r="G205" s="17">
        <v>0</v>
      </c>
      <c r="H205" s="17">
        <f t="shared" si="9"/>
        <v>151066.69</v>
      </c>
      <c r="I205" s="17">
        <v>150397.92000000001</v>
      </c>
      <c r="J205" s="17">
        <f t="shared" si="10"/>
        <v>-668.76999999998952</v>
      </c>
      <c r="K205" s="23">
        <f t="shared" si="11"/>
        <v>-2.9734965450670316E-2</v>
      </c>
      <c r="L205" s="17">
        <f>SUMIFS('Registros manuales'!$D$5:$D$104,'Registros manuales'!$A$5:$A$104,A205,'Registros manuales'!$B$5:$B$104,B205,'Registros manuales'!$C$5:$C$104,C205)</f>
        <v>0</v>
      </c>
    </row>
    <row r="206" spans="1:12" x14ac:dyDescent="0.3">
      <c r="A206" s="16" t="s">
        <v>24</v>
      </c>
      <c r="B206" s="16" t="s">
        <v>10</v>
      </c>
      <c r="C206" s="31">
        <v>46250</v>
      </c>
      <c r="D206" s="17">
        <v>150397.92000000001</v>
      </c>
      <c r="E206" s="17">
        <v>0</v>
      </c>
      <c r="F206" s="17">
        <v>20369.59</v>
      </c>
      <c r="G206" s="17">
        <v>0</v>
      </c>
      <c r="H206" s="17">
        <f t="shared" si="9"/>
        <v>130028.33000000002</v>
      </c>
      <c r="I206" s="17">
        <v>129404.83</v>
      </c>
      <c r="J206" s="17">
        <f t="shared" si="10"/>
        <v>-623.50000000001455</v>
      </c>
      <c r="K206" s="23">
        <f t="shared" si="11"/>
        <v>-3.0609354434724241E-2</v>
      </c>
      <c r="L206" s="17">
        <f>SUMIFS('Registros manuales'!$D$5:$D$104,'Registros manuales'!$A$5:$A$104,A206,'Registros manuales'!$B$5:$B$104,B206,'Registros manuales'!$C$5:$C$104,C206)</f>
        <v>0</v>
      </c>
    </row>
    <row r="207" spans="1:12" x14ac:dyDescent="0.3">
      <c r="A207" s="16" t="s">
        <v>24</v>
      </c>
      <c r="B207" s="16" t="s">
        <v>10</v>
      </c>
      <c r="C207" s="31">
        <v>46251</v>
      </c>
      <c r="D207" s="17">
        <v>129404.83</v>
      </c>
      <c r="E207" s="17">
        <v>33837</v>
      </c>
      <c r="F207" s="17">
        <v>20254.759999999998</v>
      </c>
      <c r="G207" s="17">
        <v>0</v>
      </c>
      <c r="H207" s="17">
        <f t="shared" si="9"/>
        <v>142987.07</v>
      </c>
      <c r="I207" s="17">
        <v>143705.5</v>
      </c>
      <c r="J207" s="17">
        <f t="shared" si="10"/>
        <v>718.42999999999302</v>
      </c>
      <c r="K207" s="23">
        <f t="shared" si="11"/>
        <v>3.5469687125396353E-2</v>
      </c>
      <c r="L207" s="17">
        <f>SUMIFS('Registros manuales'!$D$5:$D$104,'Registros manuales'!$A$5:$A$104,A207,'Registros manuales'!$B$5:$B$104,B207,'Registros manuales'!$C$5:$C$104,C207)</f>
        <v>0</v>
      </c>
    </row>
    <row r="208" spans="1:12" x14ac:dyDescent="0.3">
      <c r="A208" s="16" t="s">
        <v>24</v>
      </c>
      <c r="B208" s="16" t="s">
        <v>10</v>
      </c>
      <c r="C208" s="31">
        <v>46252</v>
      </c>
      <c r="D208" s="17">
        <v>143705.5</v>
      </c>
      <c r="E208" s="17">
        <v>0</v>
      </c>
      <c r="F208" s="17">
        <v>16811.66</v>
      </c>
      <c r="G208" s="17">
        <v>0</v>
      </c>
      <c r="H208" s="17">
        <f t="shared" si="9"/>
        <v>126893.84</v>
      </c>
      <c r="I208" s="17">
        <v>126168.09</v>
      </c>
      <c r="J208" s="17">
        <f t="shared" si="10"/>
        <v>-725.75</v>
      </c>
      <c r="K208" s="23">
        <f t="shared" si="11"/>
        <v>-4.3169443112696784E-2</v>
      </c>
      <c r="L208" s="17">
        <f>SUMIFS('Registros manuales'!$D$5:$D$104,'Registros manuales'!$A$5:$A$104,A208,'Registros manuales'!$B$5:$B$104,B208,'Registros manuales'!$C$5:$C$104,C208)</f>
        <v>0</v>
      </c>
    </row>
    <row r="209" spans="1:12" x14ac:dyDescent="0.3">
      <c r="A209" s="16" t="s">
        <v>24</v>
      </c>
      <c r="B209" s="16" t="s">
        <v>10</v>
      </c>
      <c r="C209" s="31">
        <v>46253</v>
      </c>
      <c r="D209" s="17">
        <v>126168.09</v>
      </c>
      <c r="E209" s="17">
        <v>33412</v>
      </c>
      <c r="F209" s="17">
        <v>17784.400000000001</v>
      </c>
      <c r="G209" s="17">
        <v>0</v>
      </c>
      <c r="H209" s="17">
        <f t="shared" si="9"/>
        <v>141795.69</v>
      </c>
      <c r="I209" s="17">
        <v>0</v>
      </c>
      <c r="J209" s="17">
        <f t="shared" si="10"/>
        <v>-141795.69</v>
      </c>
      <c r="K209" s="23">
        <f t="shared" si="11"/>
        <v>-7.9730376059917676</v>
      </c>
      <c r="L209" s="17">
        <f>SUMIFS('Registros manuales'!$D$5:$D$104,'Registros manuales'!$A$5:$A$104,A209,'Registros manuales'!$B$5:$B$104,B209,'Registros manuales'!$C$5:$C$104,C209)</f>
        <v>0</v>
      </c>
    </row>
    <row r="210" spans="1:12" x14ac:dyDescent="0.3">
      <c r="A210" s="16" t="s">
        <v>24</v>
      </c>
      <c r="B210" s="16" t="s">
        <v>10</v>
      </c>
      <c r="C210" s="31">
        <v>46254</v>
      </c>
      <c r="D210" s="17">
        <v>0</v>
      </c>
      <c r="E210" s="17">
        <v>30012</v>
      </c>
      <c r="F210" s="17">
        <v>19143.53</v>
      </c>
      <c r="G210" s="17">
        <v>0</v>
      </c>
      <c r="H210" s="17">
        <f t="shared" si="9"/>
        <v>10868.470000000001</v>
      </c>
      <c r="I210" s="17">
        <v>0</v>
      </c>
      <c r="J210" s="17">
        <f t="shared" si="10"/>
        <v>-10868.470000000001</v>
      </c>
      <c r="K210" s="23">
        <f t="shared" si="11"/>
        <v>-0.56773594002777972</v>
      </c>
      <c r="L210" s="17">
        <f>SUMIFS('Registros manuales'!$D$5:$D$104,'Registros manuales'!$A$5:$A$104,A210,'Registros manuales'!$B$5:$B$104,B210,'Registros manuales'!$C$5:$C$104,C210)</f>
        <v>0</v>
      </c>
    </row>
    <row r="211" spans="1:12" x14ac:dyDescent="0.3">
      <c r="A211" s="16" t="s">
        <v>24</v>
      </c>
      <c r="B211" s="16" t="s">
        <v>10</v>
      </c>
      <c r="C211" s="31">
        <v>46255</v>
      </c>
      <c r="D211" s="17">
        <v>0</v>
      </c>
      <c r="E211" s="17">
        <v>33426</v>
      </c>
      <c r="F211" s="17">
        <v>22347.42</v>
      </c>
      <c r="G211" s="17">
        <v>0</v>
      </c>
      <c r="H211" s="17">
        <f t="shared" si="9"/>
        <v>11078.580000000002</v>
      </c>
      <c r="I211" s="17">
        <v>0</v>
      </c>
      <c r="J211" s="17">
        <f t="shared" si="10"/>
        <v>-11078.580000000002</v>
      </c>
      <c r="K211" s="23">
        <f t="shared" si="11"/>
        <v>-0.49574313276431919</v>
      </c>
      <c r="L211" s="17">
        <f>SUMIFS('Registros manuales'!$D$5:$D$104,'Registros manuales'!$A$5:$A$104,A211,'Registros manuales'!$B$5:$B$104,B211,'Registros manuales'!$C$5:$C$104,C211)</f>
        <v>0</v>
      </c>
    </row>
    <row r="212" spans="1:12" x14ac:dyDescent="0.3">
      <c r="A212" s="16" t="s">
        <v>24</v>
      </c>
      <c r="B212" s="16" t="s">
        <v>10</v>
      </c>
      <c r="C212" s="31">
        <v>46256</v>
      </c>
      <c r="D212" s="17">
        <v>0</v>
      </c>
      <c r="E212" s="17">
        <v>0</v>
      </c>
      <c r="F212" s="17">
        <v>23283.31</v>
      </c>
      <c r="G212" s="17">
        <v>0</v>
      </c>
      <c r="H212" s="17">
        <f t="shared" si="9"/>
        <v>-23283.31</v>
      </c>
      <c r="I212" s="17">
        <v>0</v>
      </c>
      <c r="J212" s="17">
        <f t="shared" si="10"/>
        <v>23283.31</v>
      </c>
      <c r="K212" s="23">
        <f t="shared" si="11"/>
        <v>1</v>
      </c>
      <c r="L212" s="17">
        <f>SUMIFS('Registros manuales'!$D$5:$D$104,'Registros manuales'!$A$5:$A$104,A212,'Registros manuales'!$B$5:$B$104,B212,'Registros manuales'!$C$5:$C$104,C212)</f>
        <v>0</v>
      </c>
    </row>
    <row r="213" spans="1:12" x14ac:dyDescent="0.3">
      <c r="A213" s="16" t="s">
        <v>24</v>
      </c>
      <c r="B213" s="16" t="s">
        <v>10</v>
      </c>
      <c r="C213" s="31">
        <v>46257</v>
      </c>
      <c r="D213" s="17">
        <v>0</v>
      </c>
      <c r="E213" s="17">
        <v>0</v>
      </c>
      <c r="F213" s="17">
        <v>20994.36</v>
      </c>
      <c r="G213" s="17">
        <v>0</v>
      </c>
      <c r="H213" s="17">
        <f t="shared" si="9"/>
        <v>-20994.36</v>
      </c>
      <c r="I213" s="17">
        <v>118052.25</v>
      </c>
      <c r="J213" s="17">
        <f t="shared" si="10"/>
        <v>139046.60999999999</v>
      </c>
      <c r="K213" s="23">
        <f t="shared" si="11"/>
        <v>6.6230459037570082</v>
      </c>
      <c r="L213" s="17">
        <f>SUMIFS('Registros manuales'!$D$5:$D$104,'Registros manuales'!$A$5:$A$104,A213,'Registros manuales'!$B$5:$B$104,B213,'Registros manuales'!$C$5:$C$104,C213)</f>
        <v>0</v>
      </c>
    </row>
    <row r="214" spans="1:12" x14ac:dyDescent="0.3">
      <c r="A214" s="16" t="s">
        <v>24</v>
      </c>
      <c r="B214" s="16" t="s">
        <v>10</v>
      </c>
      <c r="C214" s="31">
        <v>46258</v>
      </c>
      <c r="D214" s="17">
        <v>118052.25</v>
      </c>
      <c r="E214" s="17">
        <v>33644</v>
      </c>
      <c r="F214" s="17">
        <v>19973.63</v>
      </c>
      <c r="G214" s="17">
        <v>0</v>
      </c>
      <c r="H214" s="17">
        <f t="shared" si="9"/>
        <v>131722.62</v>
      </c>
      <c r="I214" s="17">
        <v>131733.63</v>
      </c>
      <c r="J214" s="17">
        <f t="shared" si="10"/>
        <v>11.010000000009313</v>
      </c>
      <c r="K214" s="23">
        <f t="shared" si="11"/>
        <v>5.5122679252641172E-4</v>
      </c>
      <c r="L214" s="17">
        <f>SUMIFS('Registros manuales'!$D$5:$D$104,'Registros manuales'!$A$5:$A$104,A214,'Registros manuales'!$B$5:$B$104,B214,'Registros manuales'!$C$5:$C$104,C214)</f>
        <v>0</v>
      </c>
    </row>
    <row r="215" spans="1:12" x14ac:dyDescent="0.3">
      <c r="A215" s="16" t="s">
        <v>24</v>
      </c>
      <c r="B215" s="16" t="s">
        <v>10</v>
      </c>
      <c r="C215" s="31">
        <v>46259</v>
      </c>
      <c r="D215" s="17">
        <v>131733.63</v>
      </c>
      <c r="E215" s="17">
        <v>33473</v>
      </c>
      <c r="F215" s="17">
        <v>15599.63</v>
      </c>
      <c r="G215" s="17">
        <v>0</v>
      </c>
      <c r="H215" s="17">
        <f t="shared" si="9"/>
        <v>149607</v>
      </c>
      <c r="I215" s="17">
        <v>149283.82</v>
      </c>
      <c r="J215" s="17">
        <f t="shared" si="10"/>
        <v>-323.17999999999302</v>
      </c>
      <c r="K215" s="23">
        <f t="shared" si="11"/>
        <v>-2.0717158035158081E-2</v>
      </c>
      <c r="L215" s="17">
        <f>SUMIFS('Registros manuales'!$D$5:$D$104,'Registros manuales'!$A$5:$A$104,A215,'Registros manuales'!$B$5:$B$104,B215,'Registros manuales'!$C$5:$C$104,C215)</f>
        <v>0</v>
      </c>
    </row>
    <row r="216" spans="1:12" x14ac:dyDescent="0.3">
      <c r="A216" s="16" t="s">
        <v>24</v>
      </c>
      <c r="B216" s="16" t="s">
        <v>10</v>
      </c>
      <c r="C216" s="31">
        <v>46260</v>
      </c>
      <c r="D216" s="17">
        <v>149283.82</v>
      </c>
      <c r="E216" s="17">
        <v>33303</v>
      </c>
      <c r="F216" s="17">
        <v>18526.22</v>
      </c>
      <c r="G216" s="17">
        <v>0</v>
      </c>
      <c r="H216" s="17">
        <f t="shared" si="9"/>
        <v>164060.6</v>
      </c>
      <c r="I216" s="17">
        <v>0</v>
      </c>
      <c r="J216" s="17">
        <f t="shared" si="10"/>
        <v>-164060.6</v>
      </c>
      <c r="K216" s="23">
        <f t="shared" si="11"/>
        <v>-8.8555895374231763</v>
      </c>
      <c r="L216" s="17">
        <f>SUMIFS('Registros manuales'!$D$5:$D$104,'Registros manuales'!$A$5:$A$104,A216,'Registros manuales'!$B$5:$B$104,B216,'Registros manuales'!$C$5:$C$104,C216)</f>
        <v>0</v>
      </c>
    </row>
    <row r="217" spans="1:12" x14ac:dyDescent="0.3">
      <c r="A217" s="16" t="s">
        <v>24</v>
      </c>
      <c r="B217" s="16" t="s">
        <v>10</v>
      </c>
      <c r="C217" s="31">
        <v>46261</v>
      </c>
      <c r="D217" s="17">
        <v>0</v>
      </c>
      <c r="E217" s="17">
        <v>0</v>
      </c>
      <c r="F217" s="17">
        <v>17705.66</v>
      </c>
      <c r="G217" s="17">
        <v>0</v>
      </c>
      <c r="H217" s="17">
        <f t="shared" si="9"/>
        <v>-17705.66</v>
      </c>
      <c r="I217" s="17">
        <v>147230.73000000001</v>
      </c>
      <c r="J217" s="17">
        <f t="shared" si="10"/>
        <v>164936.39000000001</v>
      </c>
      <c r="K217" s="23">
        <f t="shared" si="11"/>
        <v>9.3154612705767548</v>
      </c>
      <c r="L217" s="17">
        <f>SUMIFS('Registros manuales'!$D$5:$D$104,'Registros manuales'!$A$5:$A$104,A217,'Registros manuales'!$B$5:$B$104,B217,'Registros manuales'!$C$5:$C$104,C217)</f>
        <v>0</v>
      </c>
    </row>
    <row r="218" spans="1:12" x14ac:dyDescent="0.3">
      <c r="A218" s="16" t="s">
        <v>24</v>
      </c>
      <c r="B218" s="16" t="s">
        <v>10</v>
      </c>
      <c r="C218" s="31">
        <v>46262</v>
      </c>
      <c r="D218" s="17">
        <v>147230.73000000001</v>
      </c>
      <c r="E218" s="17">
        <v>33365</v>
      </c>
      <c r="F218" s="17">
        <v>21772.59</v>
      </c>
      <c r="G218" s="17">
        <v>0</v>
      </c>
      <c r="H218" s="17">
        <f t="shared" si="9"/>
        <v>158823.14000000001</v>
      </c>
      <c r="I218" s="17">
        <v>0</v>
      </c>
      <c r="J218" s="17">
        <f t="shared" si="10"/>
        <v>-158823.14000000001</v>
      </c>
      <c r="K218" s="23">
        <f t="shared" si="11"/>
        <v>-7.2946369724502231</v>
      </c>
      <c r="L218" s="17">
        <f>SUMIFS('Registros manuales'!$D$5:$D$104,'Registros manuales'!$A$5:$A$104,A218,'Registros manuales'!$B$5:$B$104,B218,'Registros manuales'!$C$5:$C$104,C218)</f>
        <v>0</v>
      </c>
    </row>
    <row r="219" spans="1:12" x14ac:dyDescent="0.3">
      <c r="A219" s="16" t="s">
        <v>24</v>
      </c>
      <c r="B219" s="16" t="s">
        <v>10</v>
      </c>
      <c r="C219" s="31">
        <v>46263</v>
      </c>
      <c r="D219" s="17">
        <v>0</v>
      </c>
      <c r="E219" s="17">
        <v>29967</v>
      </c>
      <c r="F219" s="17">
        <v>21023.37</v>
      </c>
      <c r="G219" s="17">
        <v>0</v>
      </c>
      <c r="H219" s="17">
        <f t="shared" si="9"/>
        <v>8943.630000000001</v>
      </c>
      <c r="I219" s="17">
        <v>167130.41</v>
      </c>
      <c r="J219" s="17">
        <f t="shared" si="10"/>
        <v>158186.78</v>
      </c>
      <c r="K219" s="23">
        <f t="shared" si="11"/>
        <v>7.5243303047988981</v>
      </c>
      <c r="L219" s="17">
        <f>SUMIFS('Registros manuales'!$D$5:$D$104,'Registros manuales'!$A$5:$A$104,A219,'Registros manuales'!$B$5:$B$104,B219,'Registros manuales'!$C$5:$C$104,C219)</f>
        <v>0</v>
      </c>
    </row>
    <row r="220" spans="1:12" x14ac:dyDescent="0.3">
      <c r="A220" s="16" t="s">
        <v>24</v>
      </c>
      <c r="B220" s="16" t="s">
        <v>10</v>
      </c>
      <c r="C220" s="31">
        <v>46264</v>
      </c>
      <c r="D220" s="17">
        <v>167130.41</v>
      </c>
      <c r="E220" s="17">
        <v>0</v>
      </c>
      <c r="F220" s="17">
        <v>20164.8</v>
      </c>
      <c r="G220" s="17">
        <v>0</v>
      </c>
      <c r="H220" s="17">
        <f t="shared" si="9"/>
        <v>146965.61000000002</v>
      </c>
      <c r="I220" s="17">
        <v>146465.13</v>
      </c>
      <c r="J220" s="17">
        <f t="shared" si="10"/>
        <v>-500.48000000001048</v>
      </c>
      <c r="K220" s="23">
        <f t="shared" si="11"/>
        <v>-2.4819487423629816E-2</v>
      </c>
      <c r="L220" s="17">
        <f>SUMIFS('Registros manuales'!$D$5:$D$104,'Registros manuales'!$A$5:$A$104,A220,'Registros manuales'!$B$5:$B$104,B220,'Registros manuales'!$C$5:$C$104,C220)</f>
        <v>0</v>
      </c>
    </row>
    <row r="221" spans="1:12" x14ac:dyDescent="0.3">
      <c r="A221" s="16" t="s">
        <v>24</v>
      </c>
      <c r="B221" s="16" t="s">
        <v>10</v>
      </c>
      <c r="C221" s="31">
        <v>46265</v>
      </c>
      <c r="D221" s="17">
        <v>146465.13</v>
      </c>
      <c r="E221" s="17">
        <v>0</v>
      </c>
      <c r="F221" s="17">
        <v>16777.91</v>
      </c>
      <c r="G221" s="17">
        <v>0</v>
      </c>
      <c r="H221" s="17">
        <f t="shared" si="9"/>
        <v>129687.22</v>
      </c>
      <c r="I221" s="17">
        <v>129526.66</v>
      </c>
      <c r="J221" s="17">
        <f t="shared" si="10"/>
        <v>-160.55999999999767</v>
      </c>
      <c r="K221" s="23">
        <f t="shared" si="11"/>
        <v>-9.5697259074579415E-3</v>
      </c>
      <c r="L221" s="17">
        <f>SUMIFS('Registros manuales'!$D$5:$D$104,'Registros manuales'!$A$5:$A$104,A221,'Registros manuales'!$B$5:$B$104,B221,'Registros manuales'!$C$5:$C$104,C221)</f>
        <v>0</v>
      </c>
    </row>
    <row r="222" spans="1:12" x14ac:dyDescent="0.3">
      <c r="A222" s="16" t="s">
        <v>24</v>
      </c>
      <c r="B222" s="16" t="s">
        <v>11</v>
      </c>
      <c r="C222" s="31">
        <v>46235</v>
      </c>
      <c r="D222" s="17">
        <v>62944.93</v>
      </c>
      <c r="E222" s="17">
        <v>29924</v>
      </c>
      <c r="F222" s="17">
        <v>13204.62</v>
      </c>
      <c r="G222" s="17">
        <v>0</v>
      </c>
      <c r="H222" s="17">
        <f t="shared" si="9"/>
        <v>79664.31</v>
      </c>
      <c r="I222" s="17">
        <v>80256.820000000007</v>
      </c>
      <c r="J222" s="17">
        <f t="shared" si="10"/>
        <v>592.51000000000931</v>
      </c>
      <c r="K222" s="23">
        <f t="shared" si="11"/>
        <v>4.4871416216446157E-2</v>
      </c>
      <c r="L222" s="17">
        <f>SUMIFS('Registros manuales'!$D$5:$D$104,'Registros manuales'!$A$5:$A$104,A222,'Registros manuales'!$B$5:$B$104,B222,'Registros manuales'!$C$5:$C$104,C222)</f>
        <v>0</v>
      </c>
    </row>
    <row r="223" spans="1:12" x14ac:dyDescent="0.3">
      <c r="A223" s="16" t="s">
        <v>24</v>
      </c>
      <c r="B223" s="16" t="s">
        <v>11</v>
      </c>
      <c r="C223" s="31">
        <v>46236</v>
      </c>
      <c r="D223" s="17">
        <v>80256.820000000007</v>
      </c>
      <c r="E223" s="17">
        <v>0</v>
      </c>
      <c r="F223" s="17">
        <v>12171.29</v>
      </c>
      <c r="G223" s="17">
        <v>0</v>
      </c>
      <c r="H223" s="17">
        <f t="shared" si="9"/>
        <v>68085.53</v>
      </c>
      <c r="I223" s="17">
        <v>67743.31</v>
      </c>
      <c r="J223" s="17">
        <f t="shared" si="10"/>
        <v>-342.22000000000116</v>
      </c>
      <c r="K223" s="23">
        <f t="shared" si="11"/>
        <v>-2.8116986777901202E-2</v>
      </c>
      <c r="L223" s="17">
        <f>SUMIFS('Registros manuales'!$D$5:$D$104,'Registros manuales'!$A$5:$A$104,A223,'Registros manuales'!$B$5:$B$104,B223,'Registros manuales'!$C$5:$C$104,C223)</f>
        <v>0</v>
      </c>
    </row>
    <row r="224" spans="1:12" x14ac:dyDescent="0.3">
      <c r="A224" s="16" t="s">
        <v>24</v>
      </c>
      <c r="B224" s="16" t="s">
        <v>11</v>
      </c>
      <c r="C224" s="31">
        <v>46237</v>
      </c>
      <c r="D224" s="17">
        <v>67743.31</v>
      </c>
      <c r="E224" s="17">
        <v>0</v>
      </c>
      <c r="F224" s="17">
        <v>9294.2800000000007</v>
      </c>
      <c r="G224" s="17">
        <v>0</v>
      </c>
      <c r="H224" s="17">
        <f t="shared" si="9"/>
        <v>58449.03</v>
      </c>
      <c r="I224" s="17">
        <v>58059.23</v>
      </c>
      <c r="J224" s="17">
        <f t="shared" si="10"/>
        <v>-389.79999999999563</v>
      </c>
      <c r="K224" s="23">
        <f t="shared" si="11"/>
        <v>-4.1939773710281548E-2</v>
      </c>
      <c r="L224" s="17">
        <f>SUMIFS('Registros manuales'!$D$5:$D$104,'Registros manuales'!$A$5:$A$104,A224,'Registros manuales'!$B$5:$B$104,B224,'Registros manuales'!$C$5:$C$104,C224)</f>
        <v>0</v>
      </c>
    </row>
    <row r="225" spans="1:12" x14ac:dyDescent="0.3">
      <c r="A225" s="16" t="s">
        <v>24</v>
      </c>
      <c r="B225" s="16" t="s">
        <v>11</v>
      </c>
      <c r="C225" s="31">
        <v>46238</v>
      </c>
      <c r="D225" s="17">
        <v>58059.23</v>
      </c>
      <c r="E225" s="17">
        <v>0</v>
      </c>
      <c r="F225" s="17">
        <v>6889.57</v>
      </c>
      <c r="G225" s="17">
        <v>0</v>
      </c>
      <c r="H225" s="17">
        <f t="shared" si="9"/>
        <v>51169.66</v>
      </c>
      <c r="I225" s="17">
        <v>50833.19</v>
      </c>
      <c r="J225" s="17">
        <f t="shared" si="10"/>
        <v>-336.47000000000116</v>
      </c>
      <c r="K225" s="23">
        <f t="shared" si="11"/>
        <v>-4.8837590734980729E-2</v>
      </c>
      <c r="L225" s="17">
        <f>SUMIFS('Registros manuales'!$D$5:$D$104,'Registros manuales'!$A$5:$A$104,A225,'Registros manuales'!$B$5:$B$104,B225,'Registros manuales'!$C$5:$C$104,C225)</f>
        <v>0</v>
      </c>
    </row>
    <row r="226" spans="1:12" x14ac:dyDescent="0.3">
      <c r="A226" s="16" t="s">
        <v>24</v>
      </c>
      <c r="B226" s="16" t="s">
        <v>11</v>
      </c>
      <c r="C226" s="31">
        <v>46239</v>
      </c>
      <c r="D226" s="17">
        <v>50833.19</v>
      </c>
      <c r="E226" s="17">
        <v>33343</v>
      </c>
      <c r="F226" s="17">
        <v>7689.38</v>
      </c>
      <c r="G226" s="17">
        <v>0</v>
      </c>
      <c r="H226" s="17">
        <f t="shared" si="9"/>
        <v>76486.81</v>
      </c>
      <c r="I226" s="17">
        <v>77402.100000000006</v>
      </c>
      <c r="J226" s="17">
        <f t="shared" si="10"/>
        <v>915.29000000000815</v>
      </c>
      <c r="K226" s="23">
        <f t="shared" si="11"/>
        <v>0.11903300396130873</v>
      </c>
      <c r="L226" s="17">
        <f>SUMIFS('Registros manuales'!$D$5:$D$104,'Registros manuales'!$A$5:$A$104,A226,'Registros manuales'!$B$5:$B$104,B226,'Registros manuales'!$C$5:$C$104,C226)</f>
        <v>0</v>
      </c>
    </row>
    <row r="227" spans="1:12" x14ac:dyDescent="0.3">
      <c r="A227" s="16" t="s">
        <v>24</v>
      </c>
      <c r="B227" s="16" t="s">
        <v>11</v>
      </c>
      <c r="C227" s="31">
        <v>46240</v>
      </c>
      <c r="D227" s="17">
        <v>77402.100000000006</v>
      </c>
      <c r="E227" s="17">
        <v>0</v>
      </c>
      <c r="F227" s="17">
        <v>9841.06</v>
      </c>
      <c r="G227" s="17">
        <v>0</v>
      </c>
      <c r="H227" s="17">
        <f t="shared" si="9"/>
        <v>67561.040000000008</v>
      </c>
      <c r="I227" s="17">
        <v>67294.039999999994</v>
      </c>
      <c r="J227" s="17">
        <f t="shared" si="10"/>
        <v>-267.00000000001455</v>
      </c>
      <c r="K227" s="23">
        <f t="shared" si="11"/>
        <v>-2.7131223668996486E-2</v>
      </c>
      <c r="L227" s="17">
        <f>SUMIFS('Registros manuales'!$D$5:$D$104,'Registros manuales'!$A$5:$A$104,A227,'Registros manuales'!$B$5:$B$104,B227,'Registros manuales'!$C$5:$C$104,C227)</f>
        <v>0</v>
      </c>
    </row>
    <row r="228" spans="1:12" x14ac:dyDescent="0.3">
      <c r="A228" s="16" t="s">
        <v>24</v>
      </c>
      <c r="B228" s="16" t="s">
        <v>11</v>
      </c>
      <c r="C228" s="31">
        <v>46241</v>
      </c>
      <c r="D228" s="17">
        <v>67294.039999999994</v>
      </c>
      <c r="E228" s="17">
        <v>0</v>
      </c>
      <c r="F228" s="17">
        <v>11924.91</v>
      </c>
      <c r="G228" s="17">
        <v>0</v>
      </c>
      <c r="H228" s="17">
        <f t="shared" si="9"/>
        <v>55369.12999999999</v>
      </c>
      <c r="I228" s="17">
        <v>54873.4</v>
      </c>
      <c r="J228" s="17">
        <f t="shared" si="10"/>
        <v>-495.72999999998865</v>
      </c>
      <c r="K228" s="23">
        <f t="shared" si="11"/>
        <v>-4.1570963638299041E-2</v>
      </c>
      <c r="L228" s="17">
        <f>SUMIFS('Registros manuales'!$D$5:$D$104,'Registros manuales'!$A$5:$A$104,A228,'Registros manuales'!$B$5:$B$104,B228,'Registros manuales'!$C$5:$C$104,C228)</f>
        <v>0</v>
      </c>
    </row>
    <row r="229" spans="1:12" x14ac:dyDescent="0.3">
      <c r="A229" s="16" t="s">
        <v>24</v>
      </c>
      <c r="B229" s="16" t="s">
        <v>11</v>
      </c>
      <c r="C229" s="31">
        <v>46242</v>
      </c>
      <c r="D229" s="17">
        <v>54873.4</v>
      </c>
      <c r="E229" s="17">
        <v>33815</v>
      </c>
      <c r="F229" s="17">
        <v>14345.53</v>
      </c>
      <c r="G229" s="17">
        <v>0</v>
      </c>
      <c r="H229" s="17">
        <f t="shared" si="9"/>
        <v>74342.87</v>
      </c>
      <c r="I229" s="17">
        <v>74668.08</v>
      </c>
      <c r="J229" s="17">
        <f t="shared" si="10"/>
        <v>325.2100000000064</v>
      </c>
      <c r="K229" s="23">
        <f t="shared" si="11"/>
        <v>2.266977936681366E-2</v>
      </c>
      <c r="L229" s="17">
        <f>SUMIFS('Registros manuales'!$D$5:$D$104,'Registros manuales'!$A$5:$A$104,A229,'Registros manuales'!$B$5:$B$104,B229,'Registros manuales'!$C$5:$C$104,C229)</f>
        <v>0</v>
      </c>
    </row>
    <row r="230" spans="1:12" x14ac:dyDescent="0.3">
      <c r="A230" s="16" t="s">
        <v>24</v>
      </c>
      <c r="B230" s="16" t="s">
        <v>11</v>
      </c>
      <c r="C230" s="31">
        <v>46243</v>
      </c>
      <c r="D230" s="17">
        <v>74668.08</v>
      </c>
      <c r="E230" s="17">
        <v>0</v>
      </c>
      <c r="F230" s="17">
        <v>14772.14</v>
      </c>
      <c r="G230" s="17">
        <v>0</v>
      </c>
      <c r="H230" s="17">
        <f t="shared" si="9"/>
        <v>59895.94</v>
      </c>
      <c r="I230" s="17">
        <v>59411.96</v>
      </c>
      <c r="J230" s="17">
        <f t="shared" si="10"/>
        <v>-483.9800000000032</v>
      </c>
      <c r="K230" s="23">
        <f t="shared" si="11"/>
        <v>-3.2763025533199874E-2</v>
      </c>
      <c r="L230" s="17">
        <f>SUMIFS('Registros manuales'!$D$5:$D$104,'Registros manuales'!$A$5:$A$104,A230,'Registros manuales'!$B$5:$B$104,B230,'Registros manuales'!$C$5:$C$104,C230)</f>
        <v>0</v>
      </c>
    </row>
    <row r="231" spans="1:12" x14ac:dyDescent="0.3">
      <c r="A231" s="16" t="s">
        <v>24</v>
      </c>
      <c r="B231" s="16" t="s">
        <v>11</v>
      </c>
      <c r="C231" s="31">
        <v>46244</v>
      </c>
      <c r="D231" s="17">
        <v>59411.96</v>
      </c>
      <c r="E231" s="17">
        <v>0</v>
      </c>
      <c r="F231" s="17">
        <v>6707.26</v>
      </c>
      <c r="G231" s="17">
        <v>0</v>
      </c>
      <c r="H231" s="17">
        <f t="shared" si="9"/>
        <v>52704.7</v>
      </c>
      <c r="I231" s="17">
        <v>52415.37</v>
      </c>
      <c r="J231" s="17">
        <f t="shared" si="10"/>
        <v>-289.32999999999447</v>
      </c>
      <c r="K231" s="23">
        <f t="shared" si="11"/>
        <v>-4.3136839782563142E-2</v>
      </c>
      <c r="L231" s="17">
        <f>SUMIFS('Registros manuales'!$D$5:$D$104,'Registros manuales'!$A$5:$A$104,A231,'Registros manuales'!$B$5:$B$104,B231,'Registros manuales'!$C$5:$C$104,C231)</f>
        <v>0</v>
      </c>
    </row>
    <row r="232" spans="1:12" x14ac:dyDescent="0.3">
      <c r="A232" s="16" t="s">
        <v>24</v>
      </c>
      <c r="B232" s="16" t="s">
        <v>11</v>
      </c>
      <c r="C232" s="31">
        <v>46245</v>
      </c>
      <c r="D232" s="17">
        <v>52415.37</v>
      </c>
      <c r="E232" s="17">
        <v>0</v>
      </c>
      <c r="F232" s="17">
        <v>8119.79</v>
      </c>
      <c r="G232" s="17">
        <v>0</v>
      </c>
      <c r="H232" s="17">
        <f t="shared" si="9"/>
        <v>44295.58</v>
      </c>
      <c r="I232" s="17">
        <v>43907.07</v>
      </c>
      <c r="J232" s="17">
        <f t="shared" si="10"/>
        <v>-388.51000000000204</v>
      </c>
      <c r="K232" s="23">
        <f t="shared" si="11"/>
        <v>-4.7847296543383759E-2</v>
      </c>
      <c r="L232" s="17">
        <f>SUMIFS('Registros manuales'!$D$5:$D$104,'Registros manuales'!$A$5:$A$104,A232,'Registros manuales'!$B$5:$B$104,B232,'Registros manuales'!$C$5:$C$104,C232)</f>
        <v>0</v>
      </c>
    </row>
    <row r="233" spans="1:12" x14ac:dyDescent="0.3">
      <c r="A233" s="16" t="s">
        <v>24</v>
      </c>
      <c r="B233" s="16" t="s">
        <v>11</v>
      </c>
      <c r="C233" s="31">
        <v>46246</v>
      </c>
      <c r="D233" s="17">
        <v>43907.07</v>
      </c>
      <c r="E233" s="17">
        <v>33466</v>
      </c>
      <c r="F233" s="17">
        <v>9087.61</v>
      </c>
      <c r="G233" s="17">
        <v>0</v>
      </c>
      <c r="H233" s="17">
        <f t="shared" si="9"/>
        <v>68285.460000000006</v>
      </c>
      <c r="I233" s="17">
        <v>69422.240000000005</v>
      </c>
      <c r="J233" s="17">
        <f t="shared" si="10"/>
        <v>1136.7799999999988</v>
      </c>
      <c r="K233" s="23">
        <f t="shared" si="11"/>
        <v>0.12509119559488124</v>
      </c>
      <c r="L233" s="17">
        <f>SUMIFS('Registros manuales'!$D$5:$D$104,'Registros manuales'!$A$5:$A$104,A233,'Registros manuales'!$B$5:$B$104,B233,'Registros manuales'!$C$5:$C$104,C233)</f>
        <v>0</v>
      </c>
    </row>
    <row r="234" spans="1:12" x14ac:dyDescent="0.3">
      <c r="A234" s="16" t="s">
        <v>24</v>
      </c>
      <c r="B234" s="16" t="s">
        <v>11</v>
      </c>
      <c r="C234" s="31">
        <v>46247</v>
      </c>
      <c r="D234" s="17">
        <v>69422.240000000005</v>
      </c>
      <c r="E234" s="17">
        <v>0</v>
      </c>
      <c r="F234" s="17">
        <v>9112.33</v>
      </c>
      <c r="G234" s="17">
        <v>0</v>
      </c>
      <c r="H234" s="17">
        <f t="shared" si="9"/>
        <v>60309.91</v>
      </c>
      <c r="I234" s="17">
        <v>59959.18</v>
      </c>
      <c r="J234" s="17">
        <f t="shared" si="10"/>
        <v>-350.7300000000032</v>
      </c>
      <c r="K234" s="23">
        <f t="shared" si="11"/>
        <v>-3.8489606939169585E-2</v>
      </c>
      <c r="L234" s="17">
        <f>SUMIFS('Registros manuales'!$D$5:$D$104,'Registros manuales'!$A$5:$A$104,A234,'Registros manuales'!$B$5:$B$104,B234,'Registros manuales'!$C$5:$C$104,C234)</f>
        <v>0</v>
      </c>
    </row>
    <row r="235" spans="1:12" x14ac:dyDescent="0.3">
      <c r="A235" s="16" t="s">
        <v>24</v>
      </c>
      <c r="B235" s="16" t="s">
        <v>11</v>
      </c>
      <c r="C235" s="31">
        <v>46248</v>
      </c>
      <c r="D235" s="17">
        <v>59959.18</v>
      </c>
      <c r="E235" s="17">
        <v>0</v>
      </c>
      <c r="F235" s="17">
        <v>12723.95</v>
      </c>
      <c r="G235" s="17">
        <v>0</v>
      </c>
      <c r="H235" s="17">
        <f t="shared" si="9"/>
        <v>47235.229999999996</v>
      </c>
      <c r="I235" s="17">
        <v>46623.58</v>
      </c>
      <c r="J235" s="17">
        <f t="shared" si="10"/>
        <v>-611.64999999999418</v>
      </c>
      <c r="K235" s="23">
        <f t="shared" si="11"/>
        <v>-4.8070764188793115E-2</v>
      </c>
      <c r="L235" s="17">
        <f>SUMIFS('Registros manuales'!$D$5:$D$104,'Registros manuales'!$A$5:$A$104,A235,'Registros manuales'!$B$5:$B$104,B235,'Registros manuales'!$C$5:$C$104,C235)</f>
        <v>0</v>
      </c>
    </row>
    <row r="236" spans="1:12" x14ac:dyDescent="0.3">
      <c r="A236" s="16" t="s">
        <v>24</v>
      </c>
      <c r="B236" s="16" t="s">
        <v>11</v>
      </c>
      <c r="C236" s="31">
        <v>46249</v>
      </c>
      <c r="D236" s="17">
        <v>46623.58</v>
      </c>
      <c r="E236" s="17">
        <v>33541</v>
      </c>
      <c r="F236" s="17">
        <v>11875.53</v>
      </c>
      <c r="G236" s="17">
        <v>0</v>
      </c>
      <c r="H236" s="17">
        <f t="shared" si="9"/>
        <v>68289.05</v>
      </c>
      <c r="I236" s="17">
        <v>69199.63</v>
      </c>
      <c r="J236" s="17">
        <f t="shared" si="10"/>
        <v>910.58000000000175</v>
      </c>
      <c r="K236" s="23">
        <f t="shared" si="11"/>
        <v>7.6676998837104673E-2</v>
      </c>
      <c r="L236" s="17">
        <f>SUMIFS('Registros manuales'!$D$5:$D$104,'Registros manuales'!$A$5:$A$104,A236,'Registros manuales'!$B$5:$B$104,B236,'Registros manuales'!$C$5:$C$104,C236)</f>
        <v>0</v>
      </c>
    </row>
    <row r="237" spans="1:12" x14ac:dyDescent="0.3">
      <c r="A237" s="16" t="s">
        <v>24</v>
      </c>
      <c r="B237" s="16" t="s">
        <v>11</v>
      </c>
      <c r="C237" s="31">
        <v>46250</v>
      </c>
      <c r="D237" s="17">
        <v>69199.63</v>
      </c>
      <c r="E237" s="17">
        <v>0</v>
      </c>
      <c r="F237" s="17">
        <v>11825.53</v>
      </c>
      <c r="G237" s="17">
        <v>0</v>
      </c>
      <c r="H237" s="17">
        <f t="shared" si="9"/>
        <v>57374.100000000006</v>
      </c>
      <c r="I237" s="17">
        <v>56890.09</v>
      </c>
      <c r="J237" s="17">
        <f t="shared" si="10"/>
        <v>-484.01000000000931</v>
      </c>
      <c r="K237" s="23">
        <f t="shared" si="11"/>
        <v>-4.0929243763282434E-2</v>
      </c>
      <c r="L237" s="17">
        <f>SUMIFS('Registros manuales'!$D$5:$D$104,'Registros manuales'!$A$5:$A$104,A237,'Registros manuales'!$B$5:$B$104,B237,'Registros manuales'!$C$5:$C$104,C237)</f>
        <v>0</v>
      </c>
    </row>
    <row r="238" spans="1:12" x14ac:dyDescent="0.3">
      <c r="A238" s="16" t="s">
        <v>24</v>
      </c>
      <c r="B238" s="16" t="s">
        <v>11</v>
      </c>
      <c r="C238" s="31">
        <v>46251</v>
      </c>
      <c r="D238" s="17">
        <v>56890.09</v>
      </c>
      <c r="E238" s="17">
        <v>0</v>
      </c>
      <c r="F238" s="17">
        <v>8069.93</v>
      </c>
      <c r="G238" s="17">
        <v>0</v>
      </c>
      <c r="H238" s="17">
        <f t="shared" si="9"/>
        <v>48820.159999999996</v>
      </c>
      <c r="I238" s="17">
        <v>48437.96</v>
      </c>
      <c r="J238" s="17">
        <f t="shared" si="10"/>
        <v>-382.19999999999709</v>
      </c>
      <c r="K238" s="23">
        <f t="shared" si="11"/>
        <v>-4.7361005609713722E-2</v>
      </c>
      <c r="L238" s="17">
        <f>SUMIFS('Registros manuales'!$D$5:$D$104,'Registros manuales'!$A$5:$A$104,A238,'Registros manuales'!$B$5:$B$104,B238,'Registros manuales'!$C$5:$C$104,C238)</f>
        <v>0</v>
      </c>
    </row>
    <row r="239" spans="1:12" x14ac:dyDescent="0.3">
      <c r="A239" s="16" t="s">
        <v>24</v>
      </c>
      <c r="B239" s="16" t="s">
        <v>11</v>
      </c>
      <c r="C239" s="31">
        <v>46252</v>
      </c>
      <c r="D239" s="17">
        <v>48437.96</v>
      </c>
      <c r="E239" s="17">
        <v>0</v>
      </c>
      <c r="F239" s="17">
        <v>8227.11</v>
      </c>
      <c r="G239" s="17">
        <v>0</v>
      </c>
      <c r="H239" s="17">
        <f t="shared" si="9"/>
        <v>40210.85</v>
      </c>
      <c r="I239" s="17">
        <v>39778.29</v>
      </c>
      <c r="J239" s="17">
        <f t="shared" si="10"/>
        <v>-432.55999999999767</v>
      </c>
      <c r="K239" s="23">
        <f t="shared" si="11"/>
        <v>-5.2577393519716846E-2</v>
      </c>
      <c r="L239" s="17">
        <f>SUMIFS('Registros manuales'!$D$5:$D$104,'Registros manuales'!$A$5:$A$104,A239,'Registros manuales'!$B$5:$B$104,B239,'Registros manuales'!$C$5:$C$104,C239)</f>
        <v>0</v>
      </c>
    </row>
    <row r="240" spans="1:12" x14ac:dyDescent="0.3">
      <c r="A240" s="16" t="s">
        <v>24</v>
      </c>
      <c r="B240" s="16" t="s">
        <v>11</v>
      </c>
      <c r="C240" s="31">
        <v>46253</v>
      </c>
      <c r="D240" s="17">
        <v>39778.29</v>
      </c>
      <c r="E240" s="17">
        <v>33463</v>
      </c>
      <c r="F240" s="17">
        <v>8434.49</v>
      </c>
      <c r="G240" s="17">
        <v>0</v>
      </c>
      <c r="H240" s="17">
        <f t="shared" si="9"/>
        <v>64806.80000000001</v>
      </c>
      <c r="I240" s="17">
        <v>0</v>
      </c>
      <c r="J240" s="17">
        <f t="shared" si="10"/>
        <v>-64806.80000000001</v>
      </c>
      <c r="K240" s="23">
        <f t="shared" si="11"/>
        <v>-7.6835469601600108</v>
      </c>
      <c r="L240" s="17">
        <f>SUMIFS('Registros manuales'!$D$5:$D$104,'Registros manuales'!$A$5:$A$104,A240,'Registros manuales'!$B$5:$B$104,B240,'Registros manuales'!$C$5:$C$104,C240)</f>
        <v>0</v>
      </c>
    </row>
    <row r="241" spans="1:12" x14ac:dyDescent="0.3">
      <c r="A241" s="16" t="s">
        <v>24</v>
      </c>
      <c r="B241" s="16" t="s">
        <v>11</v>
      </c>
      <c r="C241" s="31">
        <v>46254</v>
      </c>
      <c r="D241" s="17">
        <v>0</v>
      </c>
      <c r="E241" s="17">
        <v>0</v>
      </c>
      <c r="F241" s="17">
        <v>10291.950000000001</v>
      </c>
      <c r="G241" s="17">
        <v>0</v>
      </c>
      <c r="H241" s="17">
        <f t="shared" si="9"/>
        <v>-10291.950000000001</v>
      </c>
      <c r="I241" s="17">
        <v>0</v>
      </c>
      <c r="J241" s="17">
        <f t="shared" si="10"/>
        <v>10291.950000000001</v>
      </c>
      <c r="K241" s="23">
        <f t="shared" si="11"/>
        <v>1</v>
      </c>
      <c r="L241" s="17">
        <f>SUMIFS('Registros manuales'!$D$5:$D$104,'Registros manuales'!$A$5:$A$104,A241,'Registros manuales'!$B$5:$B$104,B241,'Registros manuales'!$C$5:$C$104,C241)</f>
        <v>0</v>
      </c>
    </row>
    <row r="242" spans="1:12" x14ac:dyDescent="0.3">
      <c r="A242" s="16" t="s">
        <v>24</v>
      </c>
      <c r="B242" s="16" t="s">
        <v>11</v>
      </c>
      <c r="C242" s="31">
        <v>46255</v>
      </c>
      <c r="D242" s="17">
        <v>0</v>
      </c>
      <c r="E242" s="17">
        <v>0</v>
      </c>
      <c r="F242" s="17">
        <v>12146.19</v>
      </c>
      <c r="G242" s="17">
        <v>0</v>
      </c>
      <c r="H242" s="17">
        <f t="shared" si="9"/>
        <v>-12146.19</v>
      </c>
      <c r="I242" s="17">
        <v>0</v>
      </c>
      <c r="J242" s="17">
        <f t="shared" si="10"/>
        <v>12146.19</v>
      </c>
      <c r="K242" s="23">
        <f t="shared" si="11"/>
        <v>1</v>
      </c>
      <c r="L242" s="17">
        <f>SUMIFS('Registros manuales'!$D$5:$D$104,'Registros manuales'!$A$5:$A$104,A242,'Registros manuales'!$B$5:$B$104,B242,'Registros manuales'!$C$5:$C$104,C242)</f>
        <v>0</v>
      </c>
    </row>
    <row r="243" spans="1:12" x14ac:dyDescent="0.3">
      <c r="A243" s="16" t="s">
        <v>24</v>
      </c>
      <c r="B243" s="16" t="s">
        <v>11</v>
      </c>
      <c r="C243" s="31">
        <v>46256</v>
      </c>
      <c r="D243" s="17">
        <v>0</v>
      </c>
      <c r="E243" s="17">
        <v>33335</v>
      </c>
      <c r="F243" s="17">
        <v>11977.91</v>
      </c>
      <c r="G243" s="17">
        <v>0</v>
      </c>
      <c r="H243" s="17">
        <f t="shared" si="9"/>
        <v>21357.09</v>
      </c>
      <c r="I243" s="17">
        <v>0</v>
      </c>
      <c r="J243" s="17">
        <f t="shared" si="10"/>
        <v>-21357.09</v>
      </c>
      <c r="K243" s="23">
        <f t="shared" si="11"/>
        <v>-1.7830397790599528</v>
      </c>
      <c r="L243" s="17">
        <f>SUMIFS('Registros manuales'!$D$5:$D$104,'Registros manuales'!$A$5:$A$104,A243,'Registros manuales'!$B$5:$B$104,B243,'Registros manuales'!$C$5:$C$104,C243)</f>
        <v>0</v>
      </c>
    </row>
    <row r="244" spans="1:12" x14ac:dyDescent="0.3">
      <c r="A244" s="16" t="s">
        <v>24</v>
      </c>
      <c r="B244" s="16" t="s">
        <v>11</v>
      </c>
      <c r="C244" s="31">
        <v>46257</v>
      </c>
      <c r="D244" s="17">
        <v>0</v>
      </c>
      <c r="E244" s="17">
        <v>0</v>
      </c>
      <c r="F244" s="17">
        <v>12799.05</v>
      </c>
      <c r="G244" s="17">
        <v>0</v>
      </c>
      <c r="H244" s="17">
        <f t="shared" si="9"/>
        <v>-12799.05</v>
      </c>
      <c r="I244" s="17">
        <v>51312.08</v>
      </c>
      <c r="J244" s="17">
        <f t="shared" si="10"/>
        <v>64111.130000000005</v>
      </c>
      <c r="K244" s="23">
        <f t="shared" si="11"/>
        <v>5.0090537969614939</v>
      </c>
      <c r="L244" s="17">
        <f>SUMIFS('Registros manuales'!$D$5:$D$104,'Registros manuales'!$A$5:$A$104,A244,'Registros manuales'!$B$5:$B$104,B244,'Registros manuales'!$C$5:$C$104,C244)</f>
        <v>0</v>
      </c>
    </row>
    <row r="245" spans="1:12" x14ac:dyDescent="0.3">
      <c r="A245" s="16" t="s">
        <v>24</v>
      </c>
      <c r="B245" s="16" t="s">
        <v>11</v>
      </c>
      <c r="C245" s="31">
        <v>46258</v>
      </c>
      <c r="D245" s="17">
        <v>51312.08</v>
      </c>
      <c r="E245" s="17">
        <v>0</v>
      </c>
      <c r="F245" s="17">
        <v>7414.85</v>
      </c>
      <c r="G245" s="17">
        <v>0</v>
      </c>
      <c r="H245" s="17">
        <f t="shared" si="9"/>
        <v>43897.23</v>
      </c>
      <c r="I245" s="17">
        <v>43465.39</v>
      </c>
      <c r="J245" s="17">
        <f t="shared" si="10"/>
        <v>-431.84000000000378</v>
      </c>
      <c r="K245" s="23">
        <f t="shared" si="11"/>
        <v>-5.8239883477076912E-2</v>
      </c>
      <c r="L245" s="17">
        <f>SUMIFS('Registros manuales'!$D$5:$D$104,'Registros manuales'!$A$5:$A$104,A245,'Registros manuales'!$B$5:$B$104,B245,'Registros manuales'!$C$5:$C$104,C245)</f>
        <v>0</v>
      </c>
    </row>
    <row r="246" spans="1:12" x14ac:dyDescent="0.3">
      <c r="A246" s="16" t="s">
        <v>24</v>
      </c>
      <c r="B246" s="16" t="s">
        <v>11</v>
      </c>
      <c r="C246" s="31">
        <v>46259</v>
      </c>
      <c r="D246" s="17">
        <v>43465.39</v>
      </c>
      <c r="E246" s="17">
        <v>0</v>
      </c>
      <c r="F246" s="17">
        <v>5871.57</v>
      </c>
      <c r="G246" s="17">
        <v>0</v>
      </c>
      <c r="H246" s="17">
        <f t="shared" si="9"/>
        <v>37593.82</v>
      </c>
      <c r="I246" s="17">
        <v>37242.99</v>
      </c>
      <c r="J246" s="17">
        <f t="shared" si="10"/>
        <v>-350.83000000000175</v>
      </c>
      <c r="K246" s="23">
        <f t="shared" si="11"/>
        <v>-5.975062887779619E-2</v>
      </c>
      <c r="L246" s="17">
        <f>SUMIFS('Registros manuales'!$D$5:$D$104,'Registros manuales'!$A$5:$A$104,A246,'Registros manuales'!$B$5:$B$104,B246,'Registros manuales'!$C$5:$C$104,C246)</f>
        <v>0</v>
      </c>
    </row>
    <row r="247" spans="1:12" x14ac:dyDescent="0.3">
      <c r="A247" s="16" t="s">
        <v>24</v>
      </c>
      <c r="B247" s="16" t="s">
        <v>11</v>
      </c>
      <c r="C247" s="31">
        <v>46260</v>
      </c>
      <c r="D247" s="17">
        <v>37242.99</v>
      </c>
      <c r="E247" s="17">
        <v>0</v>
      </c>
      <c r="F247" s="17">
        <v>7664.09</v>
      </c>
      <c r="G247" s="17">
        <v>0</v>
      </c>
      <c r="H247" s="17">
        <f t="shared" si="9"/>
        <v>29578.899999999998</v>
      </c>
      <c r="I247" s="17">
        <v>0</v>
      </c>
      <c r="J247" s="17">
        <f t="shared" si="10"/>
        <v>-29578.899999999998</v>
      </c>
      <c r="K247" s="23">
        <f t="shared" si="11"/>
        <v>-3.8594144901743062</v>
      </c>
      <c r="L247" s="17">
        <f>SUMIFS('Registros manuales'!$D$5:$D$104,'Registros manuales'!$A$5:$A$104,A247,'Registros manuales'!$B$5:$B$104,B247,'Registros manuales'!$C$5:$C$104,C247)</f>
        <v>0</v>
      </c>
    </row>
    <row r="248" spans="1:12" x14ac:dyDescent="0.3">
      <c r="A248" s="16" t="s">
        <v>24</v>
      </c>
      <c r="B248" s="16" t="s">
        <v>11</v>
      </c>
      <c r="C248" s="31">
        <v>46261</v>
      </c>
      <c r="D248" s="17">
        <v>0</v>
      </c>
      <c r="E248" s="17">
        <v>33466</v>
      </c>
      <c r="F248" s="17">
        <v>8062.06</v>
      </c>
      <c r="G248" s="17">
        <v>0</v>
      </c>
      <c r="H248" s="17">
        <f t="shared" si="9"/>
        <v>25403.94</v>
      </c>
      <c r="I248" s="17">
        <v>55778.96</v>
      </c>
      <c r="J248" s="17">
        <f t="shared" si="10"/>
        <v>30375.02</v>
      </c>
      <c r="K248" s="23">
        <f t="shared" si="11"/>
        <v>3.7676499554704379</v>
      </c>
      <c r="L248" s="17">
        <f>SUMIFS('Registros manuales'!$D$5:$D$104,'Registros manuales'!$A$5:$A$104,A248,'Registros manuales'!$B$5:$B$104,B248,'Registros manuales'!$C$5:$C$104,C248)</f>
        <v>0</v>
      </c>
    </row>
    <row r="249" spans="1:12" x14ac:dyDescent="0.3">
      <c r="A249" s="16" t="s">
        <v>24</v>
      </c>
      <c r="B249" s="16" t="s">
        <v>11</v>
      </c>
      <c r="C249" s="31">
        <v>46262</v>
      </c>
      <c r="D249" s="17">
        <v>55778.96</v>
      </c>
      <c r="E249" s="17">
        <v>0</v>
      </c>
      <c r="F249" s="17">
        <v>12230.19</v>
      </c>
      <c r="G249" s="17">
        <v>0</v>
      </c>
      <c r="H249" s="17">
        <f t="shared" si="9"/>
        <v>43548.77</v>
      </c>
      <c r="I249" s="17">
        <v>0</v>
      </c>
      <c r="J249" s="17">
        <f t="shared" si="10"/>
        <v>-43548.77</v>
      </c>
      <c r="K249" s="23">
        <f t="shared" si="11"/>
        <v>-3.560759890075297</v>
      </c>
      <c r="L249" s="17">
        <f>SUMIFS('Registros manuales'!$D$5:$D$104,'Registros manuales'!$A$5:$A$104,A249,'Registros manuales'!$B$5:$B$104,B249,'Registros manuales'!$C$5:$C$104,C249)</f>
        <v>0</v>
      </c>
    </row>
    <row r="250" spans="1:12" x14ac:dyDescent="0.3">
      <c r="A250" s="16" t="s">
        <v>24</v>
      </c>
      <c r="B250" s="16" t="s">
        <v>11</v>
      </c>
      <c r="C250" s="31">
        <v>46263</v>
      </c>
      <c r="D250" s="17">
        <v>0</v>
      </c>
      <c r="E250" s="17">
        <v>0</v>
      </c>
      <c r="F250" s="17">
        <v>11793.32</v>
      </c>
      <c r="G250" s="17">
        <v>0</v>
      </c>
      <c r="H250" s="17">
        <f t="shared" si="9"/>
        <v>-11793.32</v>
      </c>
      <c r="I250" s="17">
        <v>30368.06</v>
      </c>
      <c r="J250" s="17">
        <f t="shared" si="10"/>
        <v>42161.380000000005</v>
      </c>
      <c r="K250" s="23">
        <f t="shared" si="11"/>
        <v>3.5750221311725627</v>
      </c>
      <c r="L250" s="17">
        <f>SUMIFS('Registros manuales'!$D$5:$D$104,'Registros manuales'!$A$5:$A$104,A250,'Registros manuales'!$B$5:$B$104,B250,'Registros manuales'!$C$5:$C$104,C250)</f>
        <v>0</v>
      </c>
    </row>
    <row r="251" spans="1:12" x14ac:dyDescent="0.3">
      <c r="A251" s="16" t="s">
        <v>24</v>
      </c>
      <c r="B251" s="16" t="s">
        <v>11</v>
      </c>
      <c r="C251" s="31">
        <v>46264</v>
      </c>
      <c r="D251" s="17">
        <v>30368.06</v>
      </c>
      <c r="E251" s="17">
        <v>0</v>
      </c>
      <c r="F251" s="17">
        <v>13213.92</v>
      </c>
      <c r="G251" s="17">
        <v>0</v>
      </c>
      <c r="H251" s="17">
        <f t="shared" si="9"/>
        <v>17154.14</v>
      </c>
      <c r="I251" s="17">
        <v>16426.18</v>
      </c>
      <c r="J251" s="17">
        <f t="shared" si="10"/>
        <v>-727.95999999999913</v>
      </c>
      <c r="K251" s="23">
        <f t="shared" si="11"/>
        <v>-5.5090389528618236E-2</v>
      </c>
      <c r="L251" s="17">
        <f>SUMIFS('Registros manuales'!$D$5:$D$104,'Registros manuales'!$A$5:$A$104,A251,'Registros manuales'!$B$5:$B$104,B251,'Registros manuales'!$C$5:$C$104,C251)</f>
        <v>0</v>
      </c>
    </row>
    <row r="252" spans="1:12" x14ac:dyDescent="0.3">
      <c r="A252" s="16" t="s">
        <v>24</v>
      </c>
      <c r="B252" s="16" t="s">
        <v>11</v>
      </c>
      <c r="C252" s="31">
        <v>46265</v>
      </c>
      <c r="D252" s="17">
        <v>16426.18</v>
      </c>
      <c r="E252" s="17">
        <v>35945</v>
      </c>
      <c r="F252" s="17">
        <v>8251.09</v>
      </c>
      <c r="G252" s="17">
        <v>0</v>
      </c>
      <c r="H252" s="17">
        <f t="shared" si="9"/>
        <v>44120.09</v>
      </c>
      <c r="I252" s="17">
        <v>45159.1</v>
      </c>
      <c r="J252" s="17">
        <f t="shared" si="10"/>
        <v>1039.010000000002</v>
      </c>
      <c r="K252" s="23">
        <f t="shared" si="11"/>
        <v>0.12592396883320894</v>
      </c>
      <c r="L252" s="17">
        <f>SUMIFS('Registros manuales'!$D$5:$D$104,'Registros manuales'!$A$5:$A$104,A252,'Registros manuales'!$B$5:$B$104,B252,'Registros manuales'!$C$5:$C$104,C252)</f>
        <v>0</v>
      </c>
    </row>
    <row r="253" spans="1:12" x14ac:dyDescent="0.3">
      <c r="A253" s="16" t="s">
        <v>24</v>
      </c>
      <c r="B253" s="16" t="s">
        <v>12</v>
      </c>
      <c r="C253" s="31">
        <v>46235</v>
      </c>
      <c r="D253" s="17">
        <v>117500.54</v>
      </c>
      <c r="E253" s="17">
        <v>0</v>
      </c>
      <c r="F253" s="17">
        <v>21039.06</v>
      </c>
      <c r="G253" s="17">
        <v>0</v>
      </c>
      <c r="H253" s="17">
        <f t="shared" si="9"/>
        <v>96461.48</v>
      </c>
      <c r="I253" s="17">
        <v>97055.39</v>
      </c>
      <c r="J253" s="17">
        <f t="shared" si="10"/>
        <v>593.91000000000349</v>
      </c>
      <c r="K253" s="23">
        <f t="shared" si="11"/>
        <v>2.8228922775067111E-2</v>
      </c>
      <c r="L253" s="17">
        <f>SUMIFS('Registros manuales'!$D$5:$D$104,'Registros manuales'!$A$5:$A$104,A253,'Registros manuales'!$B$5:$B$104,B253,'Registros manuales'!$C$5:$C$104,C253)</f>
        <v>0</v>
      </c>
    </row>
    <row r="254" spans="1:12" x14ac:dyDescent="0.3">
      <c r="A254" s="16" t="s">
        <v>24</v>
      </c>
      <c r="B254" s="16" t="s">
        <v>12</v>
      </c>
      <c r="C254" s="31">
        <v>46236</v>
      </c>
      <c r="D254" s="17">
        <v>97055.39</v>
      </c>
      <c r="E254" s="17">
        <v>0</v>
      </c>
      <c r="F254" s="17">
        <v>17397.8</v>
      </c>
      <c r="G254" s="17">
        <v>0</v>
      </c>
      <c r="H254" s="17">
        <f t="shared" si="9"/>
        <v>79657.59</v>
      </c>
      <c r="I254" s="17">
        <v>80237.22</v>
      </c>
      <c r="J254" s="17">
        <f t="shared" si="10"/>
        <v>579.63000000000466</v>
      </c>
      <c r="K254" s="23">
        <f t="shared" si="11"/>
        <v>3.3316281368908983E-2</v>
      </c>
      <c r="L254" s="17">
        <f>SUMIFS('Registros manuales'!$D$5:$D$104,'Registros manuales'!$A$5:$A$104,A254,'Registros manuales'!$B$5:$B$104,B254,'Registros manuales'!$C$5:$C$104,C254)</f>
        <v>0</v>
      </c>
    </row>
    <row r="255" spans="1:12" x14ac:dyDescent="0.3">
      <c r="A255" s="16" t="s">
        <v>24</v>
      </c>
      <c r="B255" s="16" t="s">
        <v>12</v>
      </c>
      <c r="C255" s="31">
        <v>46237</v>
      </c>
      <c r="D255" s="17">
        <v>80237.22</v>
      </c>
      <c r="E255" s="17">
        <v>59693</v>
      </c>
      <c r="F255" s="17">
        <v>37456.550000000003</v>
      </c>
      <c r="G255" s="17">
        <v>0</v>
      </c>
      <c r="H255" s="17">
        <f t="shared" si="9"/>
        <v>102473.67</v>
      </c>
      <c r="I255" s="17">
        <v>103698.88</v>
      </c>
      <c r="J255" s="17">
        <f t="shared" si="10"/>
        <v>1225.2100000000064</v>
      </c>
      <c r="K255" s="23">
        <f t="shared" si="11"/>
        <v>3.2710166846653156E-2</v>
      </c>
      <c r="L255" s="17">
        <f>SUMIFS('Registros manuales'!$D$5:$D$104,'Registros manuales'!$A$5:$A$104,A255,'Registros manuales'!$B$5:$B$104,B255,'Registros manuales'!$C$5:$C$104,C255)</f>
        <v>0</v>
      </c>
    </row>
    <row r="256" spans="1:12" x14ac:dyDescent="0.3">
      <c r="A256" s="16" t="s">
        <v>24</v>
      </c>
      <c r="B256" s="16" t="s">
        <v>12</v>
      </c>
      <c r="C256" s="31">
        <v>46238</v>
      </c>
      <c r="D256" s="17">
        <v>103698.88</v>
      </c>
      <c r="E256" s="17">
        <v>33370</v>
      </c>
      <c r="F256" s="17">
        <v>30326.240000000002</v>
      </c>
      <c r="G256" s="17">
        <v>0</v>
      </c>
      <c r="H256" s="17">
        <f t="shared" si="9"/>
        <v>106742.64</v>
      </c>
      <c r="I256" s="17">
        <v>105330.51</v>
      </c>
      <c r="J256" s="17">
        <f t="shared" si="10"/>
        <v>-1412.1300000000047</v>
      </c>
      <c r="K256" s="23">
        <f t="shared" si="11"/>
        <v>-4.6564625222249925E-2</v>
      </c>
      <c r="L256" s="17">
        <f>SUMIFS('Registros manuales'!$D$5:$D$104,'Registros manuales'!$A$5:$A$104,A256,'Registros manuales'!$B$5:$B$104,B256,'Registros manuales'!$C$5:$C$104,C256)</f>
        <v>0</v>
      </c>
    </row>
    <row r="257" spans="1:12" x14ac:dyDescent="0.3">
      <c r="A257" s="16" t="s">
        <v>24</v>
      </c>
      <c r="B257" s="16" t="s">
        <v>12</v>
      </c>
      <c r="C257" s="31">
        <v>46239</v>
      </c>
      <c r="D257" s="17">
        <v>105330.51</v>
      </c>
      <c r="E257" s="17">
        <v>0</v>
      </c>
      <c r="F257" s="17">
        <v>32963.269999999997</v>
      </c>
      <c r="G257" s="17">
        <v>0</v>
      </c>
      <c r="H257" s="17">
        <f t="shared" si="9"/>
        <v>72367.239999999991</v>
      </c>
      <c r="I257" s="17">
        <v>74135.149999999994</v>
      </c>
      <c r="J257" s="17">
        <f t="shared" si="10"/>
        <v>1767.9100000000035</v>
      </c>
      <c r="K257" s="23">
        <f t="shared" si="11"/>
        <v>5.3632725151357974E-2</v>
      </c>
      <c r="L257" s="17">
        <f>SUMIFS('Registros manuales'!$D$5:$D$104,'Registros manuales'!$A$5:$A$104,A257,'Registros manuales'!$B$5:$B$104,B257,'Registros manuales'!$C$5:$C$104,C257)</f>
        <v>0</v>
      </c>
    </row>
    <row r="258" spans="1:12" x14ac:dyDescent="0.3">
      <c r="A258" s="16" t="s">
        <v>24</v>
      </c>
      <c r="B258" s="16" t="s">
        <v>12</v>
      </c>
      <c r="C258" s="31">
        <v>46240</v>
      </c>
      <c r="D258" s="17">
        <v>74135.149999999994</v>
      </c>
      <c r="E258" s="17">
        <v>96607</v>
      </c>
      <c r="F258" s="17">
        <v>32024.28</v>
      </c>
      <c r="G258" s="17">
        <v>0</v>
      </c>
      <c r="H258" s="17">
        <f t="shared" si="9"/>
        <v>138717.87</v>
      </c>
      <c r="I258" s="17">
        <v>136728.06</v>
      </c>
      <c r="J258" s="17">
        <f t="shared" si="10"/>
        <v>-1989.8099999999977</v>
      </c>
      <c r="K258" s="23">
        <f t="shared" si="11"/>
        <v>-6.2134418010334591E-2</v>
      </c>
      <c r="L258" s="17">
        <f>SUMIFS('Registros manuales'!$D$5:$D$104,'Registros manuales'!$A$5:$A$104,A258,'Registros manuales'!$B$5:$B$104,B258,'Registros manuales'!$C$5:$C$104,C258)</f>
        <v>0</v>
      </c>
    </row>
    <row r="259" spans="1:12" x14ac:dyDescent="0.3">
      <c r="A259" s="16" t="s">
        <v>24</v>
      </c>
      <c r="B259" s="16" t="s">
        <v>12</v>
      </c>
      <c r="C259" s="31">
        <v>46241</v>
      </c>
      <c r="D259" s="17">
        <v>136728.06</v>
      </c>
      <c r="E259" s="17">
        <v>33356</v>
      </c>
      <c r="F259" s="17">
        <v>34304.18</v>
      </c>
      <c r="G259" s="17">
        <v>0</v>
      </c>
      <c r="H259" s="17">
        <f t="shared" si="9"/>
        <v>135779.88</v>
      </c>
      <c r="I259" s="17">
        <v>136121.39000000001</v>
      </c>
      <c r="J259" s="17">
        <f t="shared" si="10"/>
        <v>341.51000000000931</v>
      </c>
      <c r="K259" s="23">
        <f t="shared" si="11"/>
        <v>9.95534654960443E-3</v>
      </c>
      <c r="L259" s="17">
        <f>SUMIFS('Registros manuales'!$D$5:$D$104,'Registros manuales'!$A$5:$A$104,A259,'Registros manuales'!$B$5:$B$104,B259,'Registros manuales'!$C$5:$C$104,C259)</f>
        <v>0</v>
      </c>
    </row>
    <row r="260" spans="1:12" x14ac:dyDescent="0.3">
      <c r="A260" s="16" t="s">
        <v>24</v>
      </c>
      <c r="B260" s="16" t="s">
        <v>12</v>
      </c>
      <c r="C260" s="31">
        <v>46242</v>
      </c>
      <c r="D260" s="17">
        <v>136121.39000000001</v>
      </c>
      <c r="E260" s="17">
        <v>0</v>
      </c>
      <c r="F260" s="17">
        <v>20018.689999999999</v>
      </c>
      <c r="G260" s="17">
        <v>0</v>
      </c>
      <c r="H260" s="17">
        <f t="shared" si="9"/>
        <v>116102.70000000001</v>
      </c>
      <c r="I260" s="17">
        <v>117398.15</v>
      </c>
      <c r="J260" s="17">
        <f t="shared" si="10"/>
        <v>1295.4499999999825</v>
      </c>
      <c r="K260" s="23">
        <f t="shared" si="11"/>
        <v>6.4712026611131027E-2</v>
      </c>
      <c r="L260" s="17">
        <f>SUMIFS('Registros manuales'!$D$5:$D$104,'Registros manuales'!$A$5:$A$104,A260,'Registros manuales'!$B$5:$B$104,B260,'Registros manuales'!$C$5:$C$104,C260)</f>
        <v>0</v>
      </c>
    </row>
    <row r="261" spans="1:12" x14ac:dyDescent="0.3">
      <c r="A261" s="16" t="s">
        <v>24</v>
      </c>
      <c r="B261" s="16" t="s">
        <v>12</v>
      </c>
      <c r="C261" s="31">
        <v>46243</v>
      </c>
      <c r="D261" s="17">
        <v>117398.15</v>
      </c>
      <c r="E261" s="17">
        <v>0</v>
      </c>
      <c r="F261" s="17">
        <v>17186.080000000002</v>
      </c>
      <c r="G261" s="17">
        <v>0</v>
      </c>
      <c r="H261" s="17">
        <f t="shared" ref="H261:H324" si="12">D261+E261+L261-F261+G261</f>
        <v>100212.06999999999</v>
      </c>
      <c r="I261" s="17">
        <v>100783.71</v>
      </c>
      <c r="J261" s="17">
        <f t="shared" ref="J261:J324" si="13">I261-H261</f>
        <v>571.64000000001397</v>
      </c>
      <c r="K261" s="23">
        <f t="shared" ref="K261:K324" si="14">IF(F261=0,0,J261/F261)</f>
        <v>3.3261802575108107E-2</v>
      </c>
      <c r="L261" s="17">
        <f>SUMIFS('Registros manuales'!$D$5:$D$104,'Registros manuales'!$A$5:$A$104,A261,'Registros manuales'!$B$5:$B$104,B261,'Registros manuales'!$C$5:$C$104,C261)</f>
        <v>0</v>
      </c>
    </row>
    <row r="262" spans="1:12" x14ac:dyDescent="0.3">
      <c r="A262" s="16" t="s">
        <v>24</v>
      </c>
      <c r="B262" s="16" t="s">
        <v>12</v>
      </c>
      <c r="C262" s="31">
        <v>46244</v>
      </c>
      <c r="D262" s="17">
        <v>100783.71</v>
      </c>
      <c r="E262" s="17">
        <v>66904</v>
      </c>
      <c r="F262" s="17">
        <v>34889.14</v>
      </c>
      <c r="G262" s="17">
        <v>0</v>
      </c>
      <c r="H262" s="17">
        <f t="shared" si="12"/>
        <v>132798.57</v>
      </c>
      <c r="I262" s="17">
        <v>131553.89000000001</v>
      </c>
      <c r="J262" s="17">
        <f t="shared" si="13"/>
        <v>-1244.679999999993</v>
      </c>
      <c r="K262" s="23">
        <f t="shared" si="14"/>
        <v>-3.5675284630116794E-2</v>
      </c>
      <c r="L262" s="17">
        <f>SUMIFS('Registros manuales'!$D$5:$D$104,'Registros manuales'!$A$5:$A$104,A262,'Registros manuales'!$B$5:$B$104,B262,'Registros manuales'!$C$5:$C$104,C262)</f>
        <v>0</v>
      </c>
    </row>
    <row r="263" spans="1:12" x14ac:dyDescent="0.3">
      <c r="A263" s="16" t="s">
        <v>24</v>
      </c>
      <c r="B263" s="16" t="s">
        <v>12</v>
      </c>
      <c r="C263" s="31">
        <v>46245</v>
      </c>
      <c r="D263" s="17">
        <v>131553.89000000001</v>
      </c>
      <c r="E263" s="17">
        <v>33336</v>
      </c>
      <c r="F263" s="17">
        <v>41724.35</v>
      </c>
      <c r="G263" s="17">
        <v>0</v>
      </c>
      <c r="H263" s="17">
        <f t="shared" si="12"/>
        <v>123165.54000000001</v>
      </c>
      <c r="I263" s="17">
        <v>123035.89</v>
      </c>
      <c r="J263" s="17">
        <f t="shared" si="13"/>
        <v>-129.65000000000873</v>
      </c>
      <c r="K263" s="23">
        <f t="shared" si="14"/>
        <v>-3.107298256294196E-3</v>
      </c>
      <c r="L263" s="17">
        <f>SUMIFS('Registros manuales'!$D$5:$D$104,'Registros manuales'!$A$5:$A$104,A263,'Registros manuales'!$B$5:$B$104,B263,'Registros manuales'!$C$5:$C$104,C263)</f>
        <v>0</v>
      </c>
    </row>
    <row r="264" spans="1:12" x14ac:dyDescent="0.3">
      <c r="A264" s="16" t="s">
        <v>24</v>
      </c>
      <c r="B264" s="16" t="s">
        <v>12</v>
      </c>
      <c r="C264" s="31">
        <v>46246</v>
      </c>
      <c r="D264" s="17">
        <v>123035.89</v>
      </c>
      <c r="E264" s="17">
        <v>33409</v>
      </c>
      <c r="F264" s="17">
        <v>37214.15</v>
      </c>
      <c r="G264" s="17">
        <v>0</v>
      </c>
      <c r="H264" s="17">
        <f t="shared" si="12"/>
        <v>119230.74000000002</v>
      </c>
      <c r="I264" s="17">
        <v>119790.05</v>
      </c>
      <c r="J264" s="17">
        <f t="shared" si="13"/>
        <v>559.30999999998312</v>
      </c>
      <c r="K264" s="23">
        <f t="shared" si="14"/>
        <v>1.5029498188188715E-2</v>
      </c>
      <c r="L264" s="17">
        <f>SUMIFS('Registros manuales'!$D$5:$D$104,'Registros manuales'!$A$5:$A$104,A264,'Registros manuales'!$B$5:$B$104,B264,'Registros manuales'!$C$5:$C$104,C264)</f>
        <v>0</v>
      </c>
    </row>
    <row r="265" spans="1:12" x14ac:dyDescent="0.3">
      <c r="A265" s="16" t="s">
        <v>24</v>
      </c>
      <c r="B265" s="16" t="s">
        <v>12</v>
      </c>
      <c r="C265" s="31">
        <v>46247</v>
      </c>
      <c r="D265" s="17">
        <v>119790.05</v>
      </c>
      <c r="E265" s="17">
        <v>33393</v>
      </c>
      <c r="F265" s="17">
        <v>35366.79</v>
      </c>
      <c r="G265" s="17">
        <v>0</v>
      </c>
      <c r="H265" s="17">
        <f t="shared" si="12"/>
        <v>117816.25999999998</v>
      </c>
      <c r="I265" s="17">
        <v>118058.28</v>
      </c>
      <c r="J265" s="17">
        <f t="shared" si="13"/>
        <v>242.02000000001863</v>
      </c>
      <c r="K265" s="23">
        <f t="shared" si="14"/>
        <v>6.8431429598224385E-3</v>
      </c>
      <c r="L265" s="17">
        <f>SUMIFS('Registros manuales'!$D$5:$D$104,'Registros manuales'!$A$5:$A$104,A265,'Registros manuales'!$B$5:$B$104,B265,'Registros manuales'!$C$5:$C$104,C265)</f>
        <v>0</v>
      </c>
    </row>
    <row r="266" spans="1:12" x14ac:dyDescent="0.3">
      <c r="A266" s="16" t="s">
        <v>24</v>
      </c>
      <c r="B266" s="16" t="s">
        <v>12</v>
      </c>
      <c r="C266" s="31">
        <v>46248</v>
      </c>
      <c r="D266" s="17">
        <v>118058.28</v>
      </c>
      <c r="E266" s="17">
        <v>33437</v>
      </c>
      <c r="F266" s="17">
        <v>30638.3</v>
      </c>
      <c r="G266" s="17">
        <v>0</v>
      </c>
      <c r="H266" s="17">
        <f t="shared" si="12"/>
        <v>120856.98</v>
      </c>
      <c r="I266" s="17">
        <v>121015.05</v>
      </c>
      <c r="J266" s="17">
        <f t="shared" si="13"/>
        <v>158.07000000000698</v>
      </c>
      <c r="K266" s="23">
        <f t="shared" si="14"/>
        <v>5.159228808387116E-3</v>
      </c>
      <c r="L266" s="17">
        <f>SUMIFS('Registros manuales'!$D$5:$D$104,'Registros manuales'!$A$5:$A$104,A266,'Registros manuales'!$B$5:$B$104,B266,'Registros manuales'!$C$5:$C$104,C266)</f>
        <v>0</v>
      </c>
    </row>
    <row r="267" spans="1:12" x14ac:dyDescent="0.3">
      <c r="A267" s="16" t="s">
        <v>24</v>
      </c>
      <c r="B267" s="16" t="s">
        <v>12</v>
      </c>
      <c r="C267" s="31">
        <v>46249</v>
      </c>
      <c r="D267" s="17">
        <v>121015.05</v>
      </c>
      <c r="E267" s="17">
        <v>0</v>
      </c>
      <c r="F267" s="17">
        <v>20004.310000000001</v>
      </c>
      <c r="G267" s="17">
        <v>0</v>
      </c>
      <c r="H267" s="17">
        <f t="shared" si="12"/>
        <v>101010.74</v>
      </c>
      <c r="I267" s="17">
        <v>101838.1</v>
      </c>
      <c r="J267" s="17">
        <f t="shared" si="13"/>
        <v>827.36000000000058</v>
      </c>
      <c r="K267" s="23">
        <f t="shared" si="14"/>
        <v>4.1359087116726374E-2</v>
      </c>
      <c r="L267" s="17">
        <f>SUMIFS('Registros manuales'!$D$5:$D$104,'Registros manuales'!$A$5:$A$104,A267,'Registros manuales'!$B$5:$B$104,B267,'Registros manuales'!$C$5:$C$104,C267)</f>
        <v>0</v>
      </c>
    </row>
    <row r="268" spans="1:12" x14ac:dyDescent="0.3">
      <c r="A268" s="16" t="s">
        <v>24</v>
      </c>
      <c r="B268" s="16" t="s">
        <v>12</v>
      </c>
      <c r="C268" s="31">
        <v>46250</v>
      </c>
      <c r="D268" s="17">
        <v>101838.1</v>
      </c>
      <c r="E268" s="17">
        <v>0</v>
      </c>
      <c r="F268" s="17">
        <v>22157.55</v>
      </c>
      <c r="G268" s="17">
        <v>0</v>
      </c>
      <c r="H268" s="17">
        <f t="shared" si="12"/>
        <v>79680.55</v>
      </c>
      <c r="I268" s="17">
        <v>80787.460000000006</v>
      </c>
      <c r="J268" s="17">
        <f t="shared" si="13"/>
        <v>1106.9100000000035</v>
      </c>
      <c r="K268" s="23">
        <f t="shared" si="14"/>
        <v>4.9956335425171264E-2</v>
      </c>
      <c r="L268" s="17">
        <f>SUMIFS('Registros manuales'!$D$5:$D$104,'Registros manuales'!$A$5:$A$104,A268,'Registros manuales'!$B$5:$B$104,B268,'Registros manuales'!$C$5:$C$104,C268)</f>
        <v>0</v>
      </c>
    </row>
    <row r="269" spans="1:12" x14ac:dyDescent="0.3">
      <c r="A269" s="16" t="s">
        <v>24</v>
      </c>
      <c r="B269" s="16" t="s">
        <v>12</v>
      </c>
      <c r="C269" s="31">
        <v>46251</v>
      </c>
      <c r="D269" s="17">
        <v>80787.460000000006</v>
      </c>
      <c r="E269" s="17">
        <v>33564</v>
      </c>
      <c r="F269" s="17">
        <v>35527.199999999997</v>
      </c>
      <c r="G269" s="17">
        <v>0</v>
      </c>
      <c r="H269" s="17">
        <f t="shared" si="12"/>
        <v>78824.260000000009</v>
      </c>
      <c r="I269" s="17">
        <v>79359.94</v>
      </c>
      <c r="J269" s="17">
        <f t="shared" si="13"/>
        <v>535.67999999999302</v>
      </c>
      <c r="K269" s="23">
        <f t="shared" si="14"/>
        <v>1.5078024724717767E-2</v>
      </c>
      <c r="L269" s="17">
        <f>SUMIFS('Registros manuales'!$D$5:$D$104,'Registros manuales'!$A$5:$A$104,A269,'Registros manuales'!$B$5:$B$104,B269,'Registros manuales'!$C$5:$C$104,C269)</f>
        <v>0</v>
      </c>
    </row>
    <row r="270" spans="1:12" x14ac:dyDescent="0.3">
      <c r="A270" s="16" t="s">
        <v>24</v>
      </c>
      <c r="B270" s="16" t="s">
        <v>12</v>
      </c>
      <c r="C270" s="31">
        <v>46252</v>
      </c>
      <c r="D270" s="17">
        <v>79359.94</v>
      </c>
      <c r="E270" s="17">
        <v>66683</v>
      </c>
      <c r="F270" s="17">
        <v>35315.64</v>
      </c>
      <c r="G270" s="17">
        <v>0</v>
      </c>
      <c r="H270" s="17">
        <f t="shared" si="12"/>
        <v>110727.3</v>
      </c>
      <c r="I270" s="17">
        <v>110732.3</v>
      </c>
      <c r="J270" s="17">
        <f t="shared" si="13"/>
        <v>5</v>
      </c>
      <c r="K270" s="23">
        <f t="shared" si="14"/>
        <v>1.4158033098083455E-4</v>
      </c>
      <c r="L270" s="17">
        <f>SUMIFS('Registros manuales'!$D$5:$D$104,'Registros manuales'!$A$5:$A$104,A270,'Registros manuales'!$B$5:$B$104,B270,'Registros manuales'!$C$5:$C$104,C270)</f>
        <v>0</v>
      </c>
    </row>
    <row r="271" spans="1:12" x14ac:dyDescent="0.3">
      <c r="A271" s="16" t="s">
        <v>24</v>
      </c>
      <c r="B271" s="16" t="s">
        <v>12</v>
      </c>
      <c r="C271" s="31">
        <v>46253</v>
      </c>
      <c r="D271" s="17">
        <v>110732.3</v>
      </c>
      <c r="E271" s="17">
        <v>33364</v>
      </c>
      <c r="F271" s="17">
        <v>33208.31</v>
      </c>
      <c r="G271" s="17">
        <v>0</v>
      </c>
      <c r="H271" s="17">
        <f t="shared" si="12"/>
        <v>110887.98999999999</v>
      </c>
      <c r="I271" s="17">
        <v>0</v>
      </c>
      <c r="J271" s="17">
        <f t="shared" si="13"/>
        <v>-110887.98999999999</v>
      </c>
      <c r="K271" s="23">
        <f t="shared" si="14"/>
        <v>-3.3391639020474093</v>
      </c>
      <c r="L271" s="17">
        <f>SUMIFS('Registros manuales'!$D$5:$D$104,'Registros manuales'!$A$5:$A$104,A271,'Registros manuales'!$B$5:$B$104,B271,'Registros manuales'!$C$5:$C$104,C271)</f>
        <v>0</v>
      </c>
    </row>
    <row r="272" spans="1:12" x14ac:dyDescent="0.3">
      <c r="A272" s="16" t="s">
        <v>24</v>
      </c>
      <c r="B272" s="16" t="s">
        <v>12</v>
      </c>
      <c r="C272" s="31">
        <v>46254</v>
      </c>
      <c r="D272" s="17">
        <v>0</v>
      </c>
      <c r="E272" s="17">
        <v>29957</v>
      </c>
      <c r="F272" s="17">
        <v>34565.94</v>
      </c>
      <c r="G272" s="17">
        <v>0</v>
      </c>
      <c r="H272" s="17">
        <f t="shared" si="12"/>
        <v>-4608.9400000000023</v>
      </c>
      <c r="I272" s="17">
        <v>0</v>
      </c>
      <c r="J272" s="17">
        <f t="shared" si="13"/>
        <v>4608.9400000000023</v>
      </c>
      <c r="K272" s="23">
        <f t="shared" si="14"/>
        <v>0.13333761500482852</v>
      </c>
      <c r="L272" s="17">
        <f>SUMIFS('Registros manuales'!$D$5:$D$104,'Registros manuales'!$A$5:$A$104,A272,'Registros manuales'!$B$5:$B$104,B272,'Registros manuales'!$C$5:$C$104,C272)</f>
        <v>0</v>
      </c>
    </row>
    <row r="273" spans="1:12" x14ac:dyDescent="0.3">
      <c r="A273" s="16" t="s">
        <v>24</v>
      </c>
      <c r="B273" s="16" t="s">
        <v>12</v>
      </c>
      <c r="C273" s="31">
        <v>46255</v>
      </c>
      <c r="D273" s="17">
        <v>0</v>
      </c>
      <c r="E273" s="17">
        <v>33391</v>
      </c>
      <c r="F273" s="17">
        <v>33649.26</v>
      </c>
      <c r="G273" s="17">
        <v>0</v>
      </c>
      <c r="H273" s="17">
        <f t="shared" si="12"/>
        <v>-258.26000000000204</v>
      </c>
      <c r="I273" s="17">
        <v>0</v>
      </c>
      <c r="J273" s="17">
        <f t="shared" si="13"/>
        <v>258.26000000000204</v>
      </c>
      <c r="K273" s="23">
        <f t="shared" si="14"/>
        <v>7.6750573415285215E-3</v>
      </c>
      <c r="L273" s="17">
        <f>SUMIFS('Registros manuales'!$D$5:$D$104,'Registros manuales'!$A$5:$A$104,A273,'Registros manuales'!$B$5:$B$104,B273,'Registros manuales'!$C$5:$C$104,C273)</f>
        <v>0</v>
      </c>
    </row>
    <row r="274" spans="1:12" x14ac:dyDescent="0.3">
      <c r="A274" s="16" t="s">
        <v>24</v>
      </c>
      <c r="B274" s="16" t="s">
        <v>12</v>
      </c>
      <c r="C274" s="31">
        <v>46256</v>
      </c>
      <c r="D274" s="17">
        <v>0</v>
      </c>
      <c r="E274" s="17">
        <v>33363</v>
      </c>
      <c r="F274" s="17">
        <v>25115.39</v>
      </c>
      <c r="G274" s="17">
        <v>0</v>
      </c>
      <c r="H274" s="17">
        <f t="shared" si="12"/>
        <v>8247.61</v>
      </c>
      <c r="I274" s="17">
        <v>0</v>
      </c>
      <c r="J274" s="17">
        <f t="shared" si="13"/>
        <v>-8247.61</v>
      </c>
      <c r="K274" s="23">
        <f t="shared" si="14"/>
        <v>-0.32838868916628411</v>
      </c>
      <c r="L274" s="17">
        <f>SUMIFS('Registros manuales'!$D$5:$D$104,'Registros manuales'!$A$5:$A$104,A274,'Registros manuales'!$B$5:$B$104,B274,'Registros manuales'!$C$5:$C$104,C274)</f>
        <v>0</v>
      </c>
    </row>
    <row r="275" spans="1:12" x14ac:dyDescent="0.3">
      <c r="A275" s="16" t="s">
        <v>24</v>
      </c>
      <c r="B275" s="16" t="s">
        <v>12</v>
      </c>
      <c r="C275" s="31">
        <v>46257</v>
      </c>
      <c r="D275" s="17">
        <v>0</v>
      </c>
      <c r="E275" s="17">
        <v>0</v>
      </c>
      <c r="F275" s="17">
        <v>17627.71</v>
      </c>
      <c r="G275" s="17">
        <v>0</v>
      </c>
      <c r="H275" s="17">
        <f t="shared" si="12"/>
        <v>-17627.71</v>
      </c>
      <c r="I275" s="17">
        <v>99205.03</v>
      </c>
      <c r="J275" s="17">
        <f t="shared" si="13"/>
        <v>116832.73999999999</v>
      </c>
      <c r="K275" s="23">
        <f t="shared" si="14"/>
        <v>6.6277888619678897</v>
      </c>
      <c r="L275" s="17">
        <f>SUMIFS('Registros manuales'!$D$5:$D$104,'Registros manuales'!$A$5:$A$104,A275,'Registros manuales'!$B$5:$B$104,B275,'Registros manuales'!$C$5:$C$104,C275)</f>
        <v>0</v>
      </c>
    </row>
    <row r="276" spans="1:12" x14ac:dyDescent="0.3">
      <c r="A276" s="16" t="s">
        <v>24</v>
      </c>
      <c r="B276" s="16" t="s">
        <v>12</v>
      </c>
      <c r="C276" s="31">
        <v>46258</v>
      </c>
      <c r="D276" s="17">
        <v>99205.03</v>
      </c>
      <c r="E276" s="17">
        <v>33538</v>
      </c>
      <c r="F276" s="17">
        <v>30479.47</v>
      </c>
      <c r="G276" s="17">
        <v>0</v>
      </c>
      <c r="H276" s="17">
        <f t="shared" si="12"/>
        <v>102263.56</v>
      </c>
      <c r="I276" s="17">
        <v>100138.48</v>
      </c>
      <c r="J276" s="17">
        <f t="shared" si="13"/>
        <v>-2125.0800000000017</v>
      </c>
      <c r="K276" s="23">
        <f t="shared" si="14"/>
        <v>-6.9721684793075528E-2</v>
      </c>
      <c r="L276" s="17">
        <f>SUMIFS('Registros manuales'!$D$5:$D$104,'Registros manuales'!$A$5:$A$104,A276,'Registros manuales'!$B$5:$B$104,B276,'Registros manuales'!$C$5:$C$104,C276)</f>
        <v>0</v>
      </c>
    </row>
    <row r="277" spans="1:12" x14ac:dyDescent="0.3">
      <c r="A277" s="16" t="s">
        <v>24</v>
      </c>
      <c r="B277" s="16" t="s">
        <v>12</v>
      </c>
      <c r="C277" s="31">
        <v>46259</v>
      </c>
      <c r="D277" s="17">
        <v>100138.48</v>
      </c>
      <c r="E277" s="17">
        <v>33431</v>
      </c>
      <c r="F277" s="17">
        <v>32273.24</v>
      </c>
      <c r="G277" s="17">
        <v>0</v>
      </c>
      <c r="H277" s="17">
        <f t="shared" si="12"/>
        <v>101296.23999999998</v>
      </c>
      <c r="I277" s="17">
        <v>78988.27</v>
      </c>
      <c r="J277" s="17">
        <f t="shared" si="13"/>
        <v>-22307.969999999972</v>
      </c>
      <c r="K277" s="23">
        <f t="shared" si="14"/>
        <v>-0.69122189157332736</v>
      </c>
      <c r="L277" s="17">
        <f>SUMIFS('Registros manuales'!$D$5:$D$104,'Registros manuales'!$A$5:$A$104,A277,'Registros manuales'!$B$5:$B$104,B277,'Registros manuales'!$C$5:$C$104,C277)</f>
        <v>0</v>
      </c>
    </row>
    <row r="278" spans="1:12" x14ac:dyDescent="0.3">
      <c r="A278" s="16" t="s">
        <v>24</v>
      </c>
      <c r="B278" s="16" t="s">
        <v>12</v>
      </c>
      <c r="C278" s="31">
        <v>46260</v>
      </c>
      <c r="D278" s="17">
        <v>78988.27</v>
      </c>
      <c r="E278" s="17">
        <v>33364</v>
      </c>
      <c r="F278" s="17">
        <v>34984.46</v>
      </c>
      <c r="G278" s="17">
        <v>0</v>
      </c>
      <c r="H278" s="17">
        <f t="shared" si="12"/>
        <v>77367.81</v>
      </c>
      <c r="I278" s="17">
        <v>0</v>
      </c>
      <c r="J278" s="17">
        <f t="shared" si="13"/>
        <v>-77367.81</v>
      </c>
      <c r="K278" s="23">
        <f t="shared" si="14"/>
        <v>-2.2114907590398709</v>
      </c>
      <c r="L278" s="17">
        <f>SUMIFS('Registros manuales'!$D$5:$D$104,'Registros manuales'!$A$5:$A$104,A278,'Registros manuales'!$B$5:$B$104,B278,'Registros manuales'!$C$5:$C$104,C278)</f>
        <v>0</v>
      </c>
    </row>
    <row r="279" spans="1:12" x14ac:dyDescent="0.3">
      <c r="A279" s="16" t="s">
        <v>24</v>
      </c>
      <c r="B279" s="16" t="s">
        <v>12</v>
      </c>
      <c r="C279" s="31">
        <v>46261</v>
      </c>
      <c r="D279" s="17">
        <v>0</v>
      </c>
      <c r="E279" s="17">
        <v>0</v>
      </c>
      <c r="F279" s="17">
        <v>35598.01</v>
      </c>
      <c r="G279" s="17">
        <v>0</v>
      </c>
      <c r="H279" s="17">
        <f t="shared" si="12"/>
        <v>-35598.01</v>
      </c>
      <c r="I279" s="17">
        <v>67158.880000000005</v>
      </c>
      <c r="J279" s="17">
        <f t="shared" si="13"/>
        <v>102756.89000000001</v>
      </c>
      <c r="K279" s="23">
        <f t="shared" si="14"/>
        <v>2.8865908515672647</v>
      </c>
      <c r="L279" s="17">
        <f>SUMIFS('Registros manuales'!$D$5:$D$104,'Registros manuales'!$A$5:$A$104,A279,'Registros manuales'!$B$5:$B$104,B279,'Registros manuales'!$C$5:$C$104,C279)</f>
        <v>0</v>
      </c>
    </row>
    <row r="280" spans="1:12" x14ac:dyDescent="0.3">
      <c r="A280" s="16" t="s">
        <v>24</v>
      </c>
      <c r="B280" s="16" t="s">
        <v>12</v>
      </c>
      <c r="C280" s="31">
        <v>46262</v>
      </c>
      <c r="D280" s="17">
        <v>67158.880000000005</v>
      </c>
      <c r="E280" s="17">
        <v>93271</v>
      </c>
      <c r="F280" s="17">
        <v>33003.4</v>
      </c>
      <c r="G280" s="17">
        <v>0</v>
      </c>
      <c r="H280" s="17">
        <f t="shared" si="12"/>
        <v>127426.48000000001</v>
      </c>
      <c r="I280" s="17">
        <v>0</v>
      </c>
      <c r="J280" s="17">
        <f t="shared" si="13"/>
        <v>-127426.48000000001</v>
      </c>
      <c r="K280" s="23">
        <f t="shared" si="14"/>
        <v>-3.8610106837477352</v>
      </c>
      <c r="L280" s="17">
        <f>SUMIFS('Registros manuales'!$D$5:$D$104,'Registros manuales'!$A$5:$A$104,A280,'Registros manuales'!$B$5:$B$104,B280,'Registros manuales'!$C$5:$C$104,C280)</f>
        <v>0</v>
      </c>
    </row>
    <row r="281" spans="1:12" x14ac:dyDescent="0.3">
      <c r="A281" s="16" t="s">
        <v>24</v>
      </c>
      <c r="B281" s="16" t="s">
        <v>12</v>
      </c>
      <c r="C281" s="31">
        <v>46263</v>
      </c>
      <c r="D281" s="17">
        <v>0</v>
      </c>
      <c r="E281" s="17">
        <v>29934</v>
      </c>
      <c r="F281" s="17">
        <v>26983.95</v>
      </c>
      <c r="G281" s="17">
        <v>0</v>
      </c>
      <c r="H281" s="17">
        <f t="shared" si="12"/>
        <v>2950.0499999999993</v>
      </c>
      <c r="I281" s="17">
        <v>126865.06</v>
      </c>
      <c r="J281" s="17">
        <f t="shared" si="13"/>
        <v>123915.01</v>
      </c>
      <c r="K281" s="23">
        <f t="shared" si="14"/>
        <v>4.5921746074981602</v>
      </c>
      <c r="L281" s="17">
        <f>SUMIFS('Registros manuales'!$D$5:$D$104,'Registros manuales'!$A$5:$A$104,A281,'Registros manuales'!$B$5:$B$104,B281,'Registros manuales'!$C$5:$C$104,C281)</f>
        <v>0</v>
      </c>
    </row>
    <row r="282" spans="1:12" x14ac:dyDescent="0.3">
      <c r="A282" s="16" t="s">
        <v>24</v>
      </c>
      <c r="B282" s="16" t="s">
        <v>12</v>
      </c>
      <c r="C282" s="31">
        <v>46264</v>
      </c>
      <c r="D282" s="17">
        <v>126865.06</v>
      </c>
      <c r="E282" s="17">
        <v>0</v>
      </c>
      <c r="F282" s="17">
        <v>14526.25</v>
      </c>
      <c r="G282" s="17">
        <v>0</v>
      </c>
      <c r="H282" s="17">
        <f t="shared" si="12"/>
        <v>112338.81</v>
      </c>
      <c r="I282" s="17">
        <v>113341.06</v>
      </c>
      <c r="J282" s="17">
        <f t="shared" si="13"/>
        <v>1002.25</v>
      </c>
      <c r="K282" s="23">
        <f t="shared" si="14"/>
        <v>6.8995783495396271E-2</v>
      </c>
      <c r="L282" s="17">
        <f>SUMIFS('Registros manuales'!$D$5:$D$104,'Registros manuales'!$A$5:$A$104,A282,'Registros manuales'!$B$5:$B$104,B282,'Registros manuales'!$C$5:$C$104,C282)</f>
        <v>0</v>
      </c>
    </row>
    <row r="283" spans="1:12" x14ac:dyDescent="0.3">
      <c r="A283" s="16" t="s">
        <v>24</v>
      </c>
      <c r="B283" s="16" t="s">
        <v>12</v>
      </c>
      <c r="C283" s="31">
        <v>46265</v>
      </c>
      <c r="D283" s="17">
        <v>113341.06</v>
      </c>
      <c r="E283" s="17">
        <v>0</v>
      </c>
      <c r="F283" s="17">
        <v>37284.620000000003</v>
      </c>
      <c r="G283" s="17">
        <v>0</v>
      </c>
      <c r="H283" s="17">
        <f t="shared" si="12"/>
        <v>76056.44</v>
      </c>
      <c r="I283" s="17">
        <v>75919</v>
      </c>
      <c r="J283" s="17">
        <f t="shared" si="13"/>
        <v>-137.44000000000233</v>
      </c>
      <c r="K283" s="23">
        <f t="shared" si="14"/>
        <v>-3.6862384543546994E-3</v>
      </c>
      <c r="L283" s="17">
        <f>SUMIFS('Registros manuales'!$D$5:$D$104,'Registros manuales'!$A$5:$A$104,A283,'Registros manuales'!$B$5:$B$104,B283,'Registros manuales'!$C$5:$C$104,C283)</f>
        <v>0</v>
      </c>
    </row>
    <row r="284" spans="1:12" x14ac:dyDescent="0.3">
      <c r="A284" s="16" t="s">
        <v>25</v>
      </c>
      <c r="B284" s="16" t="s">
        <v>10</v>
      </c>
      <c r="C284" s="31">
        <v>46237</v>
      </c>
      <c r="D284" s="17">
        <v>0</v>
      </c>
      <c r="E284" s="17">
        <v>0</v>
      </c>
      <c r="F284" s="17">
        <v>11086.24</v>
      </c>
      <c r="G284" s="17">
        <v>51578</v>
      </c>
      <c r="H284" s="17">
        <f t="shared" si="12"/>
        <v>40491.760000000002</v>
      </c>
      <c r="I284" s="17">
        <v>40406.519999999997</v>
      </c>
      <c r="J284" s="17">
        <f t="shared" si="13"/>
        <v>-85.240000000005239</v>
      </c>
      <c r="K284" s="23">
        <f t="shared" si="14"/>
        <v>-7.6888106337229976E-3</v>
      </c>
      <c r="L284" s="17">
        <f>SUMIFS('Registros manuales'!$D$5:$D$104,'Registros manuales'!$A$5:$A$104,A284,'Registros manuales'!$B$5:$B$104,B284,'Registros manuales'!$C$5:$C$104,C284)</f>
        <v>0</v>
      </c>
    </row>
    <row r="285" spans="1:12" x14ac:dyDescent="0.3">
      <c r="A285" s="16" t="s">
        <v>25</v>
      </c>
      <c r="B285" s="16" t="s">
        <v>10</v>
      </c>
      <c r="C285" s="31">
        <v>46238</v>
      </c>
      <c r="D285" s="17">
        <v>40406.519999999997</v>
      </c>
      <c r="E285" s="17">
        <v>29821</v>
      </c>
      <c r="F285" s="17">
        <v>10398.41</v>
      </c>
      <c r="G285" s="17">
        <v>0</v>
      </c>
      <c r="H285" s="17">
        <f t="shared" si="12"/>
        <v>59829.109999999986</v>
      </c>
      <c r="I285" s="17">
        <v>59928.51</v>
      </c>
      <c r="J285" s="17">
        <f t="shared" si="13"/>
        <v>99.400000000016007</v>
      </c>
      <c r="K285" s="23">
        <f t="shared" si="14"/>
        <v>9.5591537552391186E-3</v>
      </c>
      <c r="L285" s="17">
        <f>SUMIFS('Registros manuales'!$D$5:$D$104,'Registros manuales'!$A$5:$A$104,A285,'Registros manuales'!$B$5:$B$104,B285,'Registros manuales'!$C$5:$C$104,C285)</f>
        <v>0</v>
      </c>
    </row>
    <row r="286" spans="1:12" x14ac:dyDescent="0.3">
      <c r="A286" s="16" t="s">
        <v>25</v>
      </c>
      <c r="B286" s="16" t="s">
        <v>10</v>
      </c>
      <c r="C286" s="31">
        <v>46239</v>
      </c>
      <c r="D286" s="17">
        <v>59928.51</v>
      </c>
      <c r="E286" s="17">
        <v>0</v>
      </c>
      <c r="F286" s="17">
        <v>10969.36</v>
      </c>
      <c r="G286" s="17">
        <v>0</v>
      </c>
      <c r="H286" s="17">
        <f t="shared" si="12"/>
        <v>48959.15</v>
      </c>
      <c r="I286" s="17">
        <v>48782.16</v>
      </c>
      <c r="J286" s="17">
        <f t="shared" si="13"/>
        <v>-176.98999999999796</v>
      </c>
      <c r="K286" s="23">
        <f t="shared" si="14"/>
        <v>-1.6134943150739694E-2</v>
      </c>
      <c r="L286" s="17">
        <f>SUMIFS('Registros manuales'!$D$5:$D$104,'Registros manuales'!$A$5:$A$104,A286,'Registros manuales'!$B$5:$B$104,B286,'Registros manuales'!$C$5:$C$104,C286)</f>
        <v>0</v>
      </c>
    </row>
    <row r="287" spans="1:12" x14ac:dyDescent="0.3">
      <c r="A287" s="16" t="s">
        <v>25</v>
      </c>
      <c r="B287" s="16" t="s">
        <v>10</v>
      </c>
      <c r="C287" s="31">
        <v>46240</v>
      </c>
      <c r="D287" s="17">
        <v>48782.16</v>
      </c>
      <c r="E287" s="17">
        <v>0</v>
      </c>
      <c r="F287" s="17">
        <v>11113.93</v>
      </c>
      <c r="G287" s="17">
        <v>0</v>
      </c>
      <c r="H287" s="17">
        <f t="shared" si="12"/>
        <v>37668.230000000003</v>
      </c>
      <c r="I287" s="17">
        <v>37565.65</v>
      </c>
      <c r="J287" s="17">
        <f t="shared" si="13"/>
        <v>-102.58000000000175</v>
      </c>
      <c r="K287" s="23">
        <f t="shared" si="14"/>
        <v>-9.2298583849279008E-3</v>
      </c>
      <c r="L287" s="17">
        <f>SUMIFS('Registros manuales'!$D$5:$D$104,'Registros manuales'!$A$5:$A$104,A287,'Registros manuales'!$B$5:$B$104,B287,'Registros manuales'!$C$5:$C$104,C287)</f>
        <v>0</v>
      </c>
    </row>
    <row r="288" spans="1:12" x14ac:dyDescent="0.3">
      <c r="A288" s="16" t="s">
        <v>25</v>
      </c>
      <c r="B288" s="16" t="s">
        <v>10</v>
      </c>
      <c r="C288" s="31">
        <v>46241</v>
      </c>
      <c r="D288" s="17">
        <v>37565.65</v>
      </c>
      <c r="E288" s="17">
        <v>29839</v>
      </c>
      <c r="F288" s="17">
        <v>12326.92</v>
      </c>
      <c r="G288" s="17">
        <v>0</v>
      </c>
      <c r="H288" s="17">
        <f t="shared" si="12"/>
        <v>55077.729999999996</v>
      </c>
      <c r="I288" s="17">
        <v>55125</v>
      </c>
      <c r="J288" s="17">
        <f t="shared" si="13"/>
        <v>47.270000000004075</v>
      </c>
      <c r="K288" s="23">
        <f t="shared" si="14"/>
        <v>3.8346967450104386E-3</v>
      </c>
      <c r="L288" s="17">
        <f>SUMIFS('Registros manuales'!$D$5:$D$104,'Registros manuales'!$A$5:$A$104,A288,'Registros manuales'!$B$5:$B$104,B288,'Registros manuales'!$C$5:$C$104,C288)</f>
        <v>0</v>
      </c>
    </row>
    <row r="289" spans="1:12" x14ac:dyDescent="0.3">
      <c r="A289" s="16" t="s">
        <v>25</v>
      </c>
      <c r="B289" s="16" t="s">
        <v>10</v>
      </c>
      <c r="C289" s="31">
        <v>46242</v>
      </c>
      <c r="D289" s="17">
        <v>55125</v>
      </c>
      <c r="E289" s="17">
        <v>0</v>
      </c>
      <c r="F289" s="17">
        <v>12372.63</v>
      </c>
      <c r="G289" s="17">
        <v>0</v>
      </c>
      <c r="H289" s="17">
        <f t="shared" si="12"/>
        <v>42752.37</v>
      </c>
      <c r="I289" s="17">
        <v>42585.72</v>
      </c>
      <c r="J289" s="17">
        <f t="shared" si="13"/>
        <v>-166.65000000000146</v>
      </c>
      <c r="K289" s="23">
        <f t="shared" si="14"/>
        <v>-1.3469246231399586E-2</v>
      </c>
      <c r="L289" s="17">
        <f>SUMIFS('Registros manuales'!$D$5:$D$104,'Registros manuales'!$A$5:$A$104,A289,'Registros manuales'!$B$5:$B$104,B289,'Registros manuales'!$C$5:$C$104,C289)</f>
        <v>0</v>
      </c>
    </row>
    <row r="290" spans="1:12" x14ac:dyDescent="0.3">
      <c r="A290" s="16" t="s">
        <v>25</v>
      </c>
      <c r="B290" s="16" t="s">
        <v>10</v>
      </c>
      <c r="C290" s="31">
        <v>46243</v>
      </c>
      <c r="D290" s="17">
        <v>42585.72</v>
      </c>
      <c r="E290" s="17">
        <v>0</v>
      </c>
      <c r="F290" s="17">
        <v>10120.370000000001</v>
      </c>
      <c r="G290" s="17">
        <v>0</v>
      </c>
      <c r="H290" s="17">
        <f t="shared" si="12"/>
        <v>32465.35</v>
      </c>
      <c r="I290" s="17">
        <v>32395.56</v>
      </c>
      <c r="J290" s="17">
        <f t="shared" si="13"/>
        <v>-69.789999999997235</v>
      </c>
      <c r="K290" s="23">
        <f t="shared" si="14"/>
        <v>-6.8959929330644262E-3</v>
      </c>
      <c r="L290" s="17">
        <f>SUMIFS('Registros manuales'!$D$5:$D$104,'Registros manuales'!$A$5:$A$104,A290,'Registros manuales'!$B$5:$B$104,B290,'Registros manuales'!$C$5:$C$104,C290)</f>
        <v>0</v>
      </c>
    </row>
    <row r="291" spans="1:12" x14ac:dyDescent="0.3">
      <c r="A291" s="16" t="s">
        <v>25</v>
      </c>
      <c r="B291" s="16" t="s">
        <v>10</v>
      </c>
      <c r="C291" s="31">
        <v>46244</v>
      </c>
      <c r="D291" s="17">
        <v>32395.56</v>
      </c>
      <c r="E291" s="17">
        <v>0</v>
      </c>
      <c r="F291" s="17">
        <v>12268.98</v>
      </c>
      <c r="G291" s="17">
        <v>0</v>
      </c>
      <c r="H291" s="17">
        <f t="shared" si="12"/>
        <v>20126.580000000002</v>
      </c>
      <c r="I291" s="17">
        <v>20147.04</v>
      </c>
      <c r="J291" s="17">
        <f t="shared" si="13"/>
        <v>20.459999999999127</v>
      </c>
      <c r="K291" s="23">
        <f t="shared" si="14"/>
        <v>1.6676202911732783E-3</v>
      </c>
      <c r="L291" s="17">
        <f>SUMIFS('Registros manuales'!$D$5:$D$104,'Registros manuales'!$A$5:$A$104,A291,'Registros manuales'!$B$5:$B$104,B291,'Registros manuales'!$C$5:$C$104,C291)</f>
        <v>0</v>
      </c>
    </row>
    <row r="292" spans="1:12" x14ac:dyDescent="0.3">
      <c r="A292" s="16" t="s">
        <v>25</v>
      </c>
      <c r="B292" s="16" t="s">
        <v>10</v>
      </c>
      <c r="C292" s="31">
        <v>46245</v>
      </c>
      <c r="D292" s="17">
        <v>20147.04</v>
      </c>
      <c r="E292" s="17">
        <v>29907</v>
      </c>
      <c r="F292" s="17">
        <v>11104.69</v>
      </c>
      <c r="G292" s="17">
        <v>0</v>
      </c>
      <c r="H292" s="17">
        <f t="shared" si="12"/>
        <v>38949.35</v>
      </c>
      <c r="I292" s="17">
        <v>38801.9</v>
      </c>
      <c r="J292" s="17">
        <f t="shared" si="13"/>
        <v>-147.44999999999709</v>
      </c>
      <c r="K292" s="23">
        <f t="shared" si="14"/>
        <v>-1.3278173456440215E-2</v>
      </c>
      <c r="L292" s="17">
        <f>SUMIFS('Registros manuales'!$D$5:$D$104,'Registros manuales'!$A$5:$A$104,A292,'Registros manuales'!$B$5:$B$104,B292,'Registros manuales'!$C$5:$C$104,C292)</f>
        <v>0</v>
      </c>
    </row>
    <row r="293" spans="1:12" x14ac:dyDescent="0.3">
      <c r="A293" s="16" t="s">
        <v>25</v>
      </c>
      <c r="B293" s="16" t="s">
        <v>10</v>
      </c>
      <c r="C293" s="31">
        <v>46246</v>
      </c>
      <c r="D293" s="17">
        <v>38801.9</v>
      </c>
      <c r="E293" s="17">
        <v>0</v>
      </c>
      <c r="F293" s="17">
        <v>13945.56</v>
      </c>
      <c r="G293" s="17">
        <v>0</v>
      </c>
      <c r="H293" s="17">
        <f t="shared" si="12"/>
        <v>24856.340000000004</v>
      </c>
      <c r="I293" s="17">
        <v>24724.19</v>
      </c>
      <c r="J293" s="17">
        <f t="shared" si="13"/>
        <v>-132.15000000000509</v>
      </c>
      <c r="K293" s="23">
        <f t="shared" si="14"/>
        <v>-9.4761343395320871E-3</v>
      </c>
      <c r="L293" s="17">
        <f>SUMIFS('Registros manuales'!$D$5:$D$104,'Registros manuales'!$A$5:$A$104,A293,'Registros manuales'!$B$5:$B$104,B293,'Registros manuales'!$C$5:$C$104,C293)</f>
        <v>0</v>
      </c>
    </row>
    <row r="294" spans="1:12" x14ac:dyDescent="0.3">
      <c r="A294" s="16" t="s">
        <v>25</v>
      </c>
      <c r="B294" s="16" t="s">
        <v>10</v>
      </c>
      <c r="C294" s="31">
        <v>46247</v>
      </c>
      <c r="D294" s="17">
        <v>24724.19</v>
      </c>
      <c r="E294" s="17">
        <v>30152</v>
      </c>
      <c r="F294" s="17">
        <v>12462.96</v>
      </c>
      <c r="G294" s="17">
        <v>0</v>
      </c>
      <c r="H294" s="17">
        <f t="shared" si="12"/>
        <v>42413.23</v>
      </c>
      <c r="I294" s="17">
        <v>42445.82</v>
      </c>
      <c r="J294" s="17">
        <f t="shared" si="13"/>
        <v>32.589999999996508</v>
      </c>
      <c r="K294" s="23">
        <f t="shared" si="14"/>
        <v>2.6149486157378754E-3</v>
      </c>
      <c r="L294" s="17">
        <f>SUMIFS('Registros manuales'!$D$5:$D$104,'Registros manuales'!$A$5:$A$104,A294,'Registros manuales'!$B$5:$B$104,B294,'Registros manuales'!$C$5:$C$104,C294)</f>
        <v>0</v>
      </c>
    </row>
    <row r="295" spans="1:12" x14ac:dyDescent="0.3">
      <c r="A295" s="16" t="s">
        <v>25</v>
      </c>
      <c r="B295" s="16" t="s">
        <v>10</v>
      </c>
      <c r="C295" s="31">
        <v>46248</v>
      </c>
      <c r="D295" s="17">
        <v>42445.82</v>
      </c>
      <c r="E295" s="17">
        <v>0</v>
      </c>
      <c r="F295" s="17">
        <v>12857.1</v>
      </c>
      <c r="G295" s="17">
        <v>0</v>
      </c>
      <c r="H295" s="17">
        <f t="shared" si="12"/>
        <v>29588.720000000001</v>
      </c>
      <c r="I295" s="17">
        <v>29542</v>
      </c>
      <c r="J295" s="17">
        <f t="shared" si="13"/>
        <v>-46.720000000001164</v>
      </c>
      <c r="K295" s="23">
        <f t="shared" si="14"/>
        <v>-3.6337898904108363E-3</v>
      </c>
      <c r="L295" s="17">
        <f>SUMIFS('Registros manuales'!$D$5:$D$104,'Registros manuales'!$A$5:$A$104,A295,'Registros manuales'!$B$5:$B$104,B295,'Registros manuales'!$C$5:$C$104,C295)</f>
        <v>0</v>
      </c>
    </row>
    <row r="296" spans="1:12" x14ac:dyDescent="0.3">
      <c r="A296" s="16" t="s">
        <v>25</v>
      </c>
      <c r="B296" s="16" t="s">
        <v>10</v>
      </c>
      <c r="C296" s="31">
        <v>46249</v>
      </c>
      <c r="D296" s="17">
        <v>29542</v>
      </c>
      <c r="E296" s="17">
        <v>29864</v>
      </c>
      <c r="F296" s="17">
        <v>14154.25</v>
      </c>
      <c r="G296" s="17">
        <v>0</v>
      </c>
      <c r="H296" s="17">
        <f t="shared" si="12"/>
        <v>45251.75</v>
      </c>
      <c r="I296" s="17">
        <v>45311.44</v>
      </c>
      <c r="J296" s="17">
        <f t="shared" si="13"/>
        <v>59.690000000002328</v>
      </c>
      <c r="K296" s="23">
        <f t="shared" si="14"/>
        <v>4.2171079357791706E-3</v>
      </c>
      <c r="L296" s="17">
        <f>SUMIFS('Registros manuales'!$D$5:$D$104,'Registros manuales'!$A$5:$A$104,A296,'Registros manuales'!$B$5:$B$104,B296,'Registros manuales'!$C$5:$C$104,C296)</f>
        <v>0</v>
      </c>
    </row>
    <row r="297" spans="1:12" x14ac:dyDescent="0.3">
      <c r="A297" s="16" t="s">
        <v>25</v>
      </c>
      <c r="B297" s="16" t="s">
        <v>10</v>
      </c>
      <c r="C297" s="31">
        <v>46250</v>
      </c>
      <c r="D297" s="17">
        <v>45311.44</v>
      </c>
      <c r="E297" s="17">
        <v>0</v>
      </c>
      <c r="F297" s="17">
        <v>10672.81</v>
      </c>
      <c r="G297" s="17">
        <v>0</v>
      </c>
      <c r="H297" s="17">
        <f t="shared" si="12"/>
        <v>34638.630000000005</v>
      </c>
      <c r="I297" s="17">
        <v>34553.67</v>
      </c>
      <c r="J297" s="17">
        <f t="shared" si="13"/>
        <v>-84.960000000006403</v>
      </c>
      <c r="K297" s="23">
        <f t="shared" si="14"/>
        <v>-7.9604152983147273E-3</v>
      </c>
      <c r="L297" s="17">
        <f>SUMIFS('Registros manuales'!$D$5:$D$104,'Registros manuales'!$A$5:$A$104,A297,'Registros manuales'!$B$5:$B$104,B297,'Registros manuales'!$C$5:$C$104,C297)</f>
        <v>0</v>
      </c>
    </row>
    <row r="298" spans="1:12" x14ac:dyDescent="0.3">
      <c r="A298" s="16" t="s">
        <v>25</v>
      </c>
      <c r="B298" s="16" t="s">
        <v>10</v>
      </c>
      <c r="C298" s="31">
        <v>46251</v>
      </c>
      <c r="D298" s="17">
        <v>34553.67</v>
      </c>
      <c r="E298" s="17">
        <v>30154</v>
      </c>
      <c r="F298" s="17">
        <v>12263.15</v>
      </c>
      <c r="G298" s="17">
        <v>0</v>
      </c>
      <c r="H298" s="17">
        <f t="shared" si="12"/>
        <v>52444.52</v>
      </c>
      <c r="I298" s="17">
        <v>52306.879999999997</v>
      </c>
      <c r="J298" s="17">
        <f t="shared" si="13"/>
        <v>-137.63999999999942</v>
      </c>
      <c r="K298" s="23">
        <f t="shared" si="14"/>
        <v>-1.1223869886611467E-2</v>
      </c>
      <c r="L298" s="17">
        <f>SUMIFS('Registros manuales'!$D$5:$D$104,'Registros manuales'!$A$5:$A$104,A298,'Registros manuales'!$B$5:$B$104,B298,'Registros manuales'!$C$5:$C$104,C298)</f>
        <v>0</v>
      </c>
    </row>
    <row r="299" spans="1:12" x14ac:dyDescent="0.3">
      <c r="A299" s="16" t="s">
        <v>25</v>
      </c>
      <c r="B299" s="16" t="s">
        <v>10</v>
      </c>
      <c r="C299" s="31">
        <v>46252</v>
      </c>
      <c r="D299" s="17">
        <v>52306.879999999997</v>
      </c>
      <c r="E299" s="17">
        <v>0</v>
      </c>
      <c r="F299" s="17">
        <v>10674.86</v>
      </c>
      <c r="G299" s="17">
        <v>0</v>
      </c>
      <c r="H299" s="17">
        <f t="shared" si="12"/>
        <v>41632.019999999997</v>
      </c>
      <c r="I299" s="17">
        <v>41535.78</v>
      </c>
      <c r="J299" s="17">
        <f t="shared" si="13"/>
        <v>-96.239999999997963</v>
      </c>
      <c r="K299" s="23">
        <f t="shared" si="14"/>
        <v>-9.0155749115208971E-3</v>
      </c>
      <c r="L299" s="17">
        <f>SUMIFS('Registros manuales'!$D$5:$D$104,'Registros manuales'!$A$5:$A$104,A299,'Registros manuales'!$B$5:$B$104,B299,'Registros manuales'!$C$5:$C$104,C299)</f>
        <v>0</v>
      </c>
    </row>
    <row r="300" spans="1:12" x14ac:dyDescent="0.3">
      <c r="A300" s="16" t="s">
        <v>25</v>
      </c>
      <c r="B300" s="16" t="s">
        <v>10</v>
      </c>
      <c r="C300" s="31">
        <v>46253</v>
      </c>
      <c r="D300" s="17">
        <v>41535.78</v>
      </c>
      <c r="E300" s="17">
        <v>0</v>
      </c>
      <c r="F300" s="17">
        <v>12057.86</v>
      </c>
      <c r="G300" s="17">
        <v>0</v>
      </c>
      <c r="H300" s="17">
        <f t="shared" si="12"/>
        <v>29477.919999999998</v>
      </c>
      <c r="I300" s="17">
        <v>29442.18</v>
      </c>
      <c r="J300" s="17">
        <f t="shared" si="13"/>
        <v>-35.739999999997963</v>
      </c>
      <c r="K300" s="23">
        <f t="shared" si="14"/>
        <v>-2.964041712210787E-3</v>
      </c>
      <c r="L300" s="17">
        <f>SUMIFS('Registros manuales'!$D$5:$D$104,'Registros manuales'!$A$5:$A$104,A300,'Registros manuales'!$B$5:$B$104,B300,'Registros manuales'!$C$5:$C$104,C300)</f>
        <v>0</v>
      </c>
    </row>
    <row r="301" spans="1:12" x14ac:dyDescent="0.3">
      <c r="A301" s="16" t="s">
        <v>25</v>
      </c>
      <c r="B301" s="16" t="s">
        <v>10</v>
      </c>
      <c r="C301" s="31">
        <v>46254</v>
      </c>
      <c r="D301" s="17">
        <v>29442.18</v>
      </c>
      <c r="E301" s="17">
        <v>29997</v>
      </c>
      <c r="F301" s="17">
        <v>11431.04</v>
      </c>
      <c r="G301" s="17">
        <v>0</v>
      </c>
      <c r="H301" s="17">
        <f t="shared" si="12"/>
        <v>48008.14</v>
      </c>
      <c r="I301" s="17">
        <v>47962.55</v>
      </c>
      <c r="J301" s="17">
        <f t="shared" si="13"/>
        <v>-45.589999999996508</v>
      </c>
      <c r="K301" s="23">
        <f t="shared" si="14"/>
        <v>-3.9882635350761177E-3</v>
      </c>
      <c r="L301" s="17">
        <f>SUMIFS('Registros manuales'!$D$5:$D$104,'Registros manuales'!$A$5:$A$104,A301,'Registros manuales'!$B$5:$B$104,B301,'Registros manuales'!$C$5:$C$104,C301)</f>
        <v>0</v>
      </c>
    </row>
    <row r="302" spans="1:12" x14ac:dyDescent="0.3">
      <c r="A302" s="16" t="s">
        <v>25</v>
      </c>
      <c r="B302" s="16" t="s">
        <v>10</v>
      </c>
      <c r="C302" s="31">
        <v>46255</v>
      </c>
      <c r="D302" s="17">
        <v>47962.55</v>
      </c>
      <c r="E302" s="17">
        <v>0</v>
      </c>
      <c r="F302" s="17">
        <v>11950.23</v>
      </c>
      <c r="G302" s="17">
        <v>0</v>
      </c>
      <c r="H302" s="17">
        <f t="shared" si="12"/>
        <v>36012.320000000007</v>
      </c>
      <c r="I302" s="17">
        <v>35929.82</v>
      </c>
      <c r="J302" s="17">
        <f t="shared" si="13"/>
        <v>-82.500000000007276</v>
      </c>
      <c r="K302" s="23">
        <f t="shared" si="14"/>
        <v>-6.9036328171095682E-3</v>
      </c>
      <c r="L302" s="17">
        <f>SUMIFS('Registros manuales'!$D$5:$D$104,'Registros manuales'!$A$5:$A$104,A302,'Registros manuales'!$B$5:$B$104,B302,'Registros manuales'!$C$5:$C$104,C302)</f>
        <v>0</v>
      </c>
    </row>
    <row r="303" spans="1:12" x14ac:dyDescent="0.3">
      <c r="A303" s="16" t="s">
        <v>25</v>
      </c>
      <c r="B303" s="16" t="s">
        <v>10</v>
      </c>
      <c r="C303" s="31">
        <v>46256</v>
      </c>
      <c r="D303" s="17">
        <v>35929.82</v>
      </c>
      <c r="E303" s="17">
        <v>33332</v>
      </c>
      <c r="F303" s="17">
        <v>11906.18</v>
      </c>
      <c r="G303" s="17">
        <v>0</v>
      </c>
      <c r="H303" s="17">
        <f t="shared" si="12"/>
        <v>57355.640000000007</v>
      </c>
      <c r="I303" s="17">
        <v>57406.93</v>
      </c>
      <c r="J303" s="17">
        <f t="shared" si="13"/>
        <v>51.289999999993597</v>
      </c>
      <c r="K303" s="23">
        <f t="shared" si="14"/>
        <v>4.3078468492827758E-3</v>
      </c>
      <c r="L303" s="17">
        <f>SUMIFS('Registros manuales'!$D$5:$D$104,'Registros manuales'!$A$5:$A$104,A303,'Registros manuales'!$B$5:$B$104,B303,'Registros manuales'!$C$5:$C$104,C303)</f>
        <v>0</v>
      </c>
    </row>
    <row r="304" spans="1:12" x14ac:dyDescent="0.3">
      <c r="A304" s="16" t="s">
        <v>25</v>
      </c>
      <c r="B304" s="16" t="s">
        <v>10</v>
      </c>
      <c r="C304" s="31">
        <v>46257</v>
      </c>
      <c r="D304" s="17">
        <v>57406.93</v>
      </c>
      <c r="E304" s="17">
        <v>0</v>
      </c>
      <c r="F304" s="17">
        <v>9425.51</v>
      </c>
      <c r="G304" s="17">
        <v>0</v>
      </c>
      <c r="H304" s="17">
        <f t="shared" si="12"/>
        <v>47981.42</v>
      </c>
      <c r="I304" s="17">
        <v>47821.82</v>
      </c>
      <c r="J304" s="17">
        <f t="shared" si="13"/>
        <v>-159.59999999999854</v>
      </c>
      <c r="K304" s="23">
        <f t="shared" si="14"/>
        <v>-1.6932770746622576E-2</v>
      </c>
      <c r="L304" s="17">
        <f>SUMIFS('Registros manuales'!$D$5:$D$104,'Registros manuales'!$A$5:$A$104,A304,'Registros manuales'!$B$5:$B$104,B304,'Registros manuales'!$C$5:$C$104,C304)</f>
        <v>0</v>
      </c>
    </row>
    <row r="305" spans="1:12" x14ac:dyDescent="0.3">
      <c r="A305" s="16" t="s">
        <v>25</v>
      </c>
      <c r="B305" s="16" t="s">
        <v>10</v>
      </c>
      <c r="C305" s="31">
        <v>46258</v>
      </c>
      <c r="D305" s="17">
        <v>47821.82</v>
      </c>
      <c r="E305" s="17">
        <v>0</v>
      </c>
      <c r="F305" s="17">
        <v>13209.42</v>
      </c>
      <c r="G305" s="17">
        <v>0</v>
      </c>
      <c r="H305" s="17">
        <f t="shared" si="12"/>
        <v>34612.400000000001</v>
      </c>
      <c r="I305" s="17">
        <v>34501.35</v>
      </c>
      <c r="J305" s="17">
        <f t="shared" si="13"/>
        <v>-111.05000000000291</v>
      </c>
      <c r="K305" s="23">
        <f t="shared" si="14"/>
        <v>-8.4068793330822171E-3</v>
      </c>
      <c r="L305" s="17">
        <f>SUMIFS('Registros manuales'!$D$5:$D$104,'Registros manuales'!$A$5:$A$104,A305,'Registros manuales'!$B$5:$B$104,B305,'Registros manuales'!$C$5:$C$104,C305)</f>
        <v>0</v>
      </c>
    </row>
    <row r="306" spans="1:12" x14ac:dyDescent="0.3">
      <c r="A306" s="16" t="s">
        <v>25</v>
      </c>
      <c r="B306" s="16" t="s">
        <v>10</v>
      </c>
      <c r="C306" s="31">
        <v>46259</v>
      </c>
      <c r="D306" s="17">
        <v>34501.35</v>
      </c>
      <c r="E306" s="17">
        <v>29922</v>
      </c>
      <c r="F306" s="17">
        <v>10933.42</v>
      </c>
      <c r="G306" s="17">
        <v>0</v>
      </c>
      <c r="H306" s="17">
        <f t="shared" si="12"/>
        <v>53489.93</v>
      </c>
      <c r="I306" s="17">
        <v>53433.26</v>
      </c>
      <c r="J306" s="17">
        <f t="shared" si="13"/>
        <v>-56.669999999998254</v>
      </c>
      <c r="K306" s="23">
        <f t="shared" si="14"/>
        <v>-5.1831906210497956E-3</v>
      </c>
      <c r="L306" s="17">
        <f>SUMIFS('Registros manuales'!$D$5:$D$104,'Registros manuales'!$A$5:$A$104,A306,'Registros manuales'!$B$5:$B$104,B306,'Registros manuales'!$C$5:$C$104,C306)</f>
        <v>0</v>
      </c>
    </row>
    <row r="307" spans="1:12" x14ac:dyDescent="0.3">
      <c r="A307" s="16" t="s">
        <v>25</v>
      </c>
      <c r="B307" s="16" t="s">
        <v>10</v>
      </c>
      <c r="C307" s="31">
        <v>46260</v>
      </c>
      <c r="D307" s="17">
        <v>53433.26</v>
      </c>
      <c r="E307" s="17">
        <v>0</v>
      </c>
      <c r="F307" s="17">
        <v>13837.42</v>
      </c>
      <c r="G307" s="17">
        <v>0</v>
      </c>
      <c r="H307" s="17">
        <f t="shared" si="12"/>
        <v>39595.840000000004</v>
      </c>
      <c r="I307" s="17">
        <v>39456.03</v>
      </c>
      <c r="J307" s="17">
        <f t="shared" si="13"/>
        <v>-139.81000000000495</v>
      </c>
      <c r="K307" s="23">
        <f t="shared" si="14"/>
        <v>-1.0103762117504921E-2</v>
      </c>
      <c r="L307" s="17">
        <f>SUMIFS('Registros manuales'!$D$5:$D$104,'Registros manuales'!$A$5:$A$104,A307,'Registros manuales'!$B$5:$B$104,B307,'Registros manuales'!$C$5:$C$104,C307)</f>
        <v>0</v>
      </c>
    </row>
    <row r="308" spans="1:12" x14ac:dyDescent="0.3">
      <c r="A308" s="16" t="s">
        <v>25</v>
      </c>
      <c r="B308" s="16" t="s">
        <v>10</v>
      </c>
      <c r="C308" s="31">
        <v>46261</v>
      </c>
      <c r="D308" s="17">
        <v>39456.03</v>
      </c>
      <c r="E308" s="17">
        <v>29925</v>
      </c>
      <c r="F308" s="17">
        <v>13842.41</v>
      </c>
      <c r="G308" s="17">
        <v>0</v>
      </c>
      <c r="H308" s="17">
        <f t="shared" si="12"/>
        <v>55538.619999999995</v>
      </c>
      <c r="I308" s="17">
        <v>55538.92</v>
      </c>
      <c r="J308" s="17">
        <f t="shared" si="13"/>
        <v>0.30000000000291038</v>
      </c>
      <c r="K308" s="23">
        <f t="shared" si="14"/>
        <v>2.1672526677284547E-5</v>
      </c>
      <c r="L308" s="17">
        <f>SUMIFS('Registros manuales'!$D$5:$D$104,'Registros manuales'!$A$5:$A$104,A308,'Registros manuales'!$B$5:$B$104,B308,'Registros manuales'!$C$5:$C$104,C308)</f>
        <v>0</v>
      </c>
    </row>
    <row r="309" spans="1:12" x14ac:dyDescent="0.3">
      <c r="A309" s="16" t="s">
        <v>25</v>
      </c>
      <c r="B309" s="16" t="s">
        <v>10</v>
      </c>
      <c r="C309" s="31">
        <v>46262</v>
      </c>
      <c r="D309" s="17">
        <v>55538.92</v>
      </c>
      <c r="E309" s="17">
        <v>0</v>
      </c>
      <c r="F309" s="17">
        <v>12934.42</v>
      </c>
      <c r="G309" s="17">
        <v>0</v>
      </c>
      <c r="H309" s="17">
        <f t="shared" si="12"/>
        <v>42604.5</v>
      </c>
      <c r="I309" s="17">
        <v>42446.92</v>
      </c>
      <c r="J309" s="17">
        <f t="shared" si="13"/>
        <v>-157.58000000000175</v>
      </c>
      <c r="K309" s="23">
        <f t="shared" si="14"/>
        <v>-1.218299699561339E-2</v>
      </c>
      <c r="L309" s="17">
        <f>SUMIFS('Registros manuales'!$D$5:$D$104,'Registros manuales'!$A$5:$A$104,A309,'Registros manuales'!$B$5:$B$104,B309,'Registros manuales'!$C$5:$C$104,C309)</f>
        <v>0</v>
      </c>
    </row>
    <row r="310" spans="1:12" x14ac:dyDescent="0.3">
      <c r="A310" s="16" t="s">
        <v>25</v>
      </c>
      <c r="B310" s="16" t="s">
        <v>10</v>
      </c>
      <c r="C310" s="31">
        <v>46263</v>
      </c>
      <c r="D310" s="17">
        <v>42446.92</v>
      </c>
      <c r="E310" s="17">
        <v>0</v>
      </c>
      <c r="F310" s="17">
        <v>13639.26</v>
      </c>
      <c r="G310" s="17">
        <v>0</v>
      </c>
      <c r="H310" s="17">
        <f t="shared" si="12"/>
        <v>28807.659999999996</v>
      </c>
      <c r="I310" s="17">
        <v>28749.439999999999</v>
      </c>
      <c r="J310" s="17">
        <f t="shared" si="13"/>
        <v>-58.219999999997526</v>
      </c>
      <c r="K310" s="23">
        <f t="shared" si="14"/>
        <v>-4.2685600245172773E-3</v>
      </c>
      <c r="L310" s="17">
        <f>SUMIFS('Registros manuales'!$D$5:$D$104,'Registros manuales'!$A$5:$A$104,A310,'Registros manuales'!$B$5:$B$104,B310,'Registros manuales'!$C$5:$C$104,C310)</f>
        <v>0</v>
      </c>
    </row>
    <row r="311" spans="1:12" x14ac:dyDescent="0.3">
      <c r="A311" s="16" t="s">
        <v>25</v>
      </c>
      <c r="B311" s="16" t="s">
        <v>10</v>
      </c>
      <c r="C311" s="31">
        <v>46264</v>
      </c>
      <c r="D311" s="17">
        <v>28749.439999999999</v>
      </c>
      <c r="E311" s="17">
        <v>29910</v>
      </c>
      <c r="F311" s="17">
        <v>11613.15</v>
      </c>
      <c r="G311" s="17">
        <v>0</v>
      </c>
      <c r="H311" s="17">
        <f t="shared" si="12"/>
        <v>47046.29</v>
      </c>
      <c r="I311" s="17">
        <v>46949.55</v>
      </c>
      <c r="J311" s="17">
        <f t="shared" si="13"/>
        <v>-96.739999999997963</v>
      </c>
      <c r="K311" s="23">
        <f t="shared" si="14"/>
        <v>-8.3302118718864369E-3</v>
      </c>
      <c r="L311" s="17">
        <f>SUMIFS('Registros manuales'!$D$5:$D$104,'Registros manuales'!$A$5:$A$104,A311,'Registros manuales'!$B$5:$B$104,B311,'Registros manuales'!$C$5:$C$104,C311)</f>
        <v>0</v>
      </c>
    </row>
    <row r="312" spans="1:12" x14ac:dyDescent="0.3">
      <c r="A312" s="16" t="s">
        <v>25</v>
      </c>
      <c r="B312" s="16" t="s">
        <v>10</v>
      </c>
      <c r="C312" s="31">
        <v>46265</v>
      </c>
      <c r="D312" s="17">
        <v>46949.55</v>
      </c>
      <c r="E312" s="17">
        <v>0</v>
      </c>
      <c r="F312" s="17">
        <v>12132.09</v>
      </c>
      <c r="G312" s="17">
        <v>0</v>
      </c>
      <c r="H312" s="17">
        <f t="shared" si="12"/>
        <v>34817.460000000006</v>
      </c>
      <c r="I312" s="17">
        <v>34749.29</v>
      </c>
      <c r="J312" s="17">
        <f t="shared" si="13"/>
        <v>-68.17000000000553</v>
      </c>
      <c r="K312" s="23">
        <f t="shared" si="14"/>
        <v>-5.6189823847338366E-3</v>
      </c>
      <c r="L312" s="17">
        <f>SUMIFS('Registros manuales'!$D$5:$D$104,'Registros manuales'!$A$5:$A$104,A312,'Registros manuales'!$B$5:$B$104,B312,'Registros manuales'!$C$5:$C$104,C312)</f>
        <v>0</v>
      </c>
    </row>
    <row r="313" spans="1:12" x14ac:dyDescent="0.3">
      <c r="A313" s="16" t="s">
        <v>25</v>
      </c>
      <c r="B313" s="16" t="s">
        <v>11</v>
      </c>
      <c r="C313" s="31">
        <v>46237</v>
      </c>
      <c r="D313" s="17">
        <v>0</v>
      </c>
      <c r="E313" s="17">
        <v>0</v>
      </c>
      <c r="F313" s="17">
        <v>1539.93</v>
      </c>
      <c r="G313" s="17">
        <v>27932</v>
      </c>
      <c r="H313" s="17">
        <f t="shared" si="12"/>
        <v>26392.07</v>
      </c>
      <c r="I313" s="17">
        <v>26414.959999999999</v>
      </c>
      <c r="J313" s="17">
        <f t="shared" si="13"/>
        <v>22.889999999999418</v>
      </c>
      <c r="K313" s="23">
        <f t="shared" si="14"/>
        <v>1.4864312014182084E-2</v>
      </c>
      <c r="L313" s="17">
        <f>SUMIFS('Registros manuales'!$D$5:$D$104,'Registros manuales'!$A$5:$A$104,A313,'Registros manuales'!$B$5:$B$104,B313,'Registros manuales'!$C$5:$C$104,C313)</f>
        <v>0</v>
      </c>
    </row>
    <row r="314" spans="1:12" x14ac:dyDescent="0.3">
      <c r="A314" s="16" t="s">
        <v>25</v>
      </c>
      <c r="B314" s="16" t="s">
        <v>11</v>
      </c>
      <c r="C314" s="31">
        <v>46238</v>
      </c>
      <c r="D314" s="17">
        <v>26414.959999999999</v>
      </c>
      <c r="E314" s="17">
        <v>0</v>
      </c>
      <c r="F314" s="17">
        <v>1973.68</v>
      </c>
      <c r="G314" s="17">
        <v>0</v>
      </c>
      <c r="H314" s="17">
        <f t="shared" si="12"/>
        <v>24441.279999999999</v>
      </c>
      <c r="I314" s="17">
        <v>24468.02</v>
      </c>
      <c r="J314" s="17">
        <f t="shared" si="13"/>
        <v>26.740000000001601</v>
      </c>
      <c r="K314" s="23">
        <f t="shared" si="14"/>
        <v>1.3548295569698027E-2</v>
      </c>
      <c r="L314" s="17">
        <f>SUMIFS('Registros manuales'!$D$5:$D$104,'Registros manuales'!$A$5:$A$104,A314,'Registros manuales'!$B$5:$B$104,B314,'Registros manuales'!$C$5:$C$104,C314)</f>
        <v>0</v>
      </c>
    </row>
    <row r="315" spans="1:12" x14ac:dyDescent="0.3">
      <c r="A315" s="16" t="s">
        <v>25</v>
      </c>
      <c r="B315" s="16" t="s">
        <v>11</v>
      </c>
      <c r="C315" s="31">
        <v>46239</v>
      </c>
      <c r="D315" s="17">
        <v>24468.02</v>
      </c>
      <c r="E315" s="17">
        <v>0</v>
      </c>
      <c r="F315" s="17">
        <v>1752.48</v>
      </c>
      <c r="G315" s="17">
        <v>0</v>
      </c>
      <c r="H315" s="17">
        <f t="shared" si="12"/>
        <v>22715.54</v>
      </c>
      <c r="I315" s="17">
        <v>22763.37</v>
      </c>
      <c r="J315" s="17">
        <f t="shared" si="13"/>
        <v>47.829999999998108</v>
      </c>
      <c r="K315" s="23">
        <f t="shared" si="14"/>
        <v>2.7292750844516406E-2</v>
      </c>
      <c r="L315" s="17">
        <f>SUMIFS('Registros manuales'!$D$5:$D$104,'Registros manuales'!$A$5:$A$104,A315,'Registros manuales'!$B$5:$B$104,B315,'Registros manuales'!$C$5:$C$104,C315)</f>
        <v>0</v>
      </c>
    </row>
    <row r="316" spans="1:12" x14ac:dyDescent="0.3">
      <c r="A316" s="16" t="s">
        <v>25</v>
      </c>
      <c r="B316" s="16" t="s">
        <v>11</v>
      </c>
      <c r="C316" s="31">
        <v>46240</v>
      </c>
      <c r="D316" s="17">
        <v>22763.37</v>
      </c>
      <c r="E316" s="17">
        <v>0</v>
      </c>
      <c r="F316" s="17">
        <v>1653.11</v>
      </c>
      <c r="G316" s="17">
        <v>0</v>
      </c>
      <c r="H316" s="17">
        <f t="shared" si="12"/>
        <v>21110.26</v>
      </c>
      <c r="I316" s="17">
        <v>21119.919999999998</v>
      </c>
      <c r="J316" s="17">
        <f t="shared" si="13"/>
        <v>9.6599999999998545</v>
      </c>
      <c r="K316" s="23">
        <f t="shared" si="14"/>
        <v>5.8435312834595734E-3</v>
      </c>
      <c r="L316" s="17">
        <f>SUMIFS('Registros manuales'!$D$5:$D$104,'Registros manuales'!$A$5:$A$104,A316,'Registros manuales'!$B$5:$B$104,B316,'Registros manuales'!$C$5:$C$104,C316)</f>
        <v>0</v>
      </c>
    </row>
    <row r="317" spans="1:12" x14ac:dyDescent="0.3">
      <c r="A317" s="16" t="s">
        <v>25</v>
      </c>
      <c r="B317" s="16" t="s">
        <v>11</v>
      </c>
      <c r="C317" s="31">
        <v>46241</v>
      </c>
      <c r="D317" s="17">
        <v>21119.919999999998</v>
      </c>
      <c r="E317" s="17">
        <v>0</v>
      </c>
      <c r="F317" s="17">
        <v>1737.77</v>
      </c>
      <c r="G317" s="17">
        <v>0</v>
      </c>
      <c r="H317" s="17">
        <f t="shared" si="12"/>
        <v>19382.149999999998</v>
      </c>
      <c r="I317" s="17">
        <v>19402.71</v>
      </c>
      <c r="J317" s="17">
        <f t="shared" si="13"/>
        <v>20.56000000000131</v>
      </c>
      <c r="K317" s="23">
        <f t="shared" si="14"/>
        <v>1.1831254999223896E-2</v>
      </c>
      <c r="L317" s="17">
        <f>SUMIFS('Registros manuales'!$D$5:$D$104,'Registros manuales'!$A$5:$A$104,A317,'Registros manuales'!$B$5:$B$104,B317,'Registros manuales'!$C$5:$C$104,C317)</f>
        <v>0</v>
      </c>
    </row>
    <row r="318" spans="1:12" x14ac:dyDescent="0.3">
      <c r="A318" s="16" t="s">
        <v>25</v>
      </c>
      <c r="B318" s="16" t="s">
        <v>11</v>
      </c>
      <c r="C318" s="31">
        <v>46242</v>
      </c>
      <c r="D318" s="17">
        <v>19402.71</v>
      </c>
      <c r="E318" s="17">
        <v>0</v>
      </c>
      <c r="F318" s="17">
        <v>2177.8200000000002</v>
      </c>
      <c r="G318" s="17">
        <v>0</v>
      </c>
      <c r="H318" s="17">
        <f t="shared" si="12"/>
        <v>17224.89</v>
      </c>
      <c r="I318" s="17">
        <v>17266.900000000001</v>
      </c>
      <c r="J318" s="17">
        <f t="shared" si="13"/>
        <v>42.010000000002037</v>
      </c>
      <c r="K318" s="23">
        <f t="shared" si="14"/>
        <v>1.9289932133969765E-2</v>
      </c>
      <c r="L318" s="17">
        <f>SUMIFS('Registros manuales'!$D$5:$D$104,'Registros manuales'!$A$5:$A$104,A318,'Registros manuales'!$B$5:$B$104,B318,'Registros manuales'!$C$5:$C$104,C318)</f>
        <v>0</v>
      </c>
    </row>
    <row r="319" spans="1:12" x14ac:dyDescent="0.3">
      <c r="A319" s="16" t="s">
        <v>25</v>
      </c>
      <c r="B319" s="16" t="s">
        <v>11</v>
      </c>
      <c r="C319" s="31">
        <v>46243</v>
      </c>
      <c r="D319" s="17">
        <v>17266.900000000001</v>
      </c>
      <c r="E319" s="17">
        <v>0</v>
      </c>
      <c r="F319" s="17">
        <v>2320.5</v>
      </c>
      <c r="G319" s="17">
        <v>0</v>
      </c>
      <c r="H319" s="17">
        <f t="shared" si="12"/>
        <v>14946.400000000001</v>
      </c>
      <c r="I319" s="17">
        <v>14978.23</v>
      </c>
      <c r="J319" s="17">
        <f t="shared" si="13"/>
        <v>31.829999999998108</v>
      </c>
      <c r="K319" s="23">
        <f t="shared" si="14"/>
        <v>1.3716871363929373E-2</v>
      </c>
      <c r="L319" s="17">
        <f>SUMIFS('Registros manuales'!$D$5:$D$104,'Registros manuales'!$A$5:$A$104,A319,'Registros manuales'!$B$5:$B$104,B319,'Registros manuales'!$C$5:$C$104,C319)</f>
        <v>0</v>
      </c>
    </row>
    <row r="320" spans="1:12" x14ac:dyDescent="0.3">
      <c r="A320" s="16" t="s">
        <v>25</v>
      </c>
      <c r="B320" s="16" t="s">
        <v>11</v>
      </c>
      <c r="C320" s="31">
        <v>46244</v>
      </c>
      <c r="D320" s="17">
        <v>14978.23</v>
      </c>
      <c r="E320" s="17">
        <v>0</v>
      </c>
      <c r="F320" s="17">
        <v>1969.26</v>
      </c>
      <c r="G320" s="17">
        <v>0</v>
      </c>
      <c r="H320" s="17">
        <f t="shared" si="12"/>
        <v>13008.97</v>
      </c>
      <c r="I320" s="17">
        <v>13038.23</v>
      </c>
      <c r="J320" s="17">
        <f t="shared" si="13"/>
        <v>29.260000000000218</v>
      </c>
      <c r="K320" s="23">
        <f t="shared" si="14"/>
        <v>1.4858373196022982E-2</v>
      </c>
      <c r="L320" s="17">
        <f>SUMIFS('Registros manuales'!$D$5:$D$104,'Registros manuales'!$A$5:$A$104,A320,'Registros manuales'!$B$5:$B$104,B320,'Registros manuales'!$C$5:$C$104,C320)</f>
        <v>0</v>
      </c>
    </row>
    <row r="321" spans="1:12" x14ac:dyDescent="0.3">
      <c r="A321" s="16" t="s">
        <v>25</v>
      </c>
      <c r="B321" s="16" t="s">
        <v>11</v>
      </c>
      <c r="C321" s="31">
        <v>46245</v>
      </c>
      <c r="D321" s="17">
        <v>13038.23</v>
      </c>
      <c r="E321" s="17">
        <v>0</v>
      </c>
      <c r="F321" s="17">
        <v>1883.49</v>
      </c>
      <c r="G321" s="17">
        <v>0</v>
      </c>
      <c r="H321" s="17">
        <f t="shared" si="12"/>
        <v>11154.74</v>
      </c>
      <c r="I321" s="17">
        <v>11188.29</v>
      </c>
      <c r="J321" s="17">
        <f t="shared" si="13"/>
        <v>33.550000000001091</v>
      </c>
      <c r="K321" s="23">
        <f t="shared" si="14"/>
        <v>1.7812677529480427E-2</v>
      </c>
      <c r="L321" s="17">
        <f>SUMIFS('Registros manuales'!$D$5:$D$104,'Registros manuales'!$A$5:$A$104,A321,'Registros manuales'!$B$5:$B$104,B321,'Registros manuales'!$C$5:$C$104,C321)</f>
        <v>0</v>
      </c>
    </row>
    <row r="322" spans="1:12" x14ac:dyDescent="0.3">
      <c r="A322" s="16" t="s">
        <v>25</v>
      </c>
      <c r="B322" s="16" t="s">
        <v>11</v>
      </c>
      <c r="C322" s="31">
        <v>46246</v>
      </c>
      <c r="D322" s="17">
        <v>11188.29</v>
      </c>
      <c r="E322" s="17">
        <v>0</v>
      </c>
      <c r="F322" s="17">
        <v>2759.16</v>
      </c>
      <c r="G322" s="17">
        <v>0</v>
      </c>
      <c r="H322" s="17">
        <f t="shared" si="12"/>
        <v>8429.130000000001</v>
      </c>
      <c r="I322" s="17">
        <v>8443.86</v>
      </c>
      <c r="J322" s="17">
        <f t="shared" si="13"/>
        <v>14.729999999999563</v>
      </c>
      <c r="K322" s="23">
        <f t="shared" si="14"/>
        <v>5.3385813073542543E-3</v>
      </c>
      <c r="L322" s="17">
        <f>SUMIFS('Registros manuales'!$D$5:$D$104,'Registros manuales'!$A$5:$A$104,A322,'Registros manuales'!$B$5:$B$104,B322,'Registros manuales'!$C$5:$C$104,C322)</f>
        <v>0</v>
      </c>
    </row>
    <row r="323" spans="1:12" x14ac:dyDescent="0.3">
      <c r="A323" s="16" t="s">
        <v>25</v>
      </c>
      <c r="B323" s="16" t="s">
        <v>11</v>
      </c>
      <c r="C323" s="31">
        <v>46247</v>
      </c>
      <c r="D323" s="17">
        <v>8443.86</v>
      </c>
      <c r="E323" s="17">
        <v>0</v>
      </c>
      <c r="F323" s="17">
        <v>1650.03</v>
      </c>
      <c r="G323" s="17">
        <v>0</v>
      </c>
      <c r="H323" s="17">
        <f t="shared" si="12"/>
        <v>6793.8300000000008</v>
      </c>
      <c r="I323" s="17">
        <v>6821.15</v>
      </c>
      <c r="J323" s="17">
        <f t="shared" si="13"/>
        <v>27.319999999998799</v>
      </c>
      <c r="K323" s="23">
        <f t="shared" si="14"/>
        <v>1.6557274716216555E-2</v>
      </c>
      <c r="L323" s="17">
        <f>SUMIFS('Registros manuales'!$D$5:$D$104,'Registros manuales'!$A$5:$A$104,A323,'Registros manuales'!$B$5:$B$104,B323,'Registros manuales'!$C$5:$C$104,C323)</f>
        <v>0</v>
      </c>
    </row>
    <row r="324" spans="1:12" x14ac:dyDescent="0.3">
      <c r="A324" s="16" t="s">
        <v>25</v>
      </c>
      <c r="B324" s="16" t="s">
        <v>11</v>
      </c>
      <c r="C324" s="31">
        <v>46248</v>
      </c>
      <c r="D324" s="17">
        <v>6821.15</v>
      </c>
      <c r="E324" s="17">
        <v>29929</v>
      </c>
      <c r="F324" s="17">
        <v>2321.96</v>
      </c>
      <c r="G324" s="17">
        <v>0</v>
      </c>
      <c r="H324" s="17">
        <f t="shared" si="12"/>
        <v>34428.19</v>
      </c>
      <c r="I324" s="17">
        <v>33865.589999999997</v>
      </c>
      <c r="J324" s="17">
        <f t="shared" si="13"/>
        <v>-562.60000000000582</v>
      </c>
      <c r="K324" s="23">
        <f t="shared" si="14"/>
        <v>-0.24229530224465787</v>
      </c>
      <c r="L324" s="17">
        <f>SUMIFS('Registros manuales'!$D$5:$D$104,'Registros manuales'!$A$5:$A$104,A324,'Registros manuales'!$B$5:$B$104,B324,'Registros manuales'!$C$5:$C$104,C324)</f>
        <v>0</v>
      </c>
    </row>
    <row r="325" spans="1:12" x14ac:dyDescent="0.3">
      <c r="A325" s="16" t="s">
        <v>25</v>
      </c>
      <c r="B325" s="16" t="s">
        <v>11</v>
      </c>
      <c r="C325" s="31">
        <v>46249</v>
      </c>
      <c r="D325" s="17">
        <v>33865.589999999997</v>
      </c>
      <c r="E325" s="17">
        <v>0</v>
      </c>
      <c r="F325" s="17">
        <v>2268.5</v>
      </c>
      <c r="G325" s="17">
        <v>0</v>
      </c>
      <c r="H325" s="17">
        <f t="shared" ref="H325:H388" si="15">D325+E325+L325-F325+G325</f>
        <v>31597.089999999997</v>
      </c>
      <c r="I325" s="17">
        <v>31620.98</v>
      </c>
      <c r="J325" s="17">
        <f t="shared" ref="J325:J388" si="16">I325-H325</f>
        <v>23.890000000003056</v>
      </c>
      <c r="K325" s="23">
        <f t="shared" ref="K325:K388" si="17">IF(F325=0,0,J325/F325)</f>
        <v>1.0531188009699386E-2</v>
      </c>
      <c r="L325" s="17">
        <f>SUMIFS('Registros manuales'!$D$5:$D$104,'Registros manuales'!$A$5:$A$104,A325,'Registros manuales'!$B$5:$B$104,B325,'Registros manuales'!$C$5:$C$104,C325)</f>
        <v>0</v>
      </c>
    </row>
    <row r="326" spans="1:12" x14ac:dyDescent="0.3">
      <c r="A326" s="16" t="s">
        <v>25</v>
      </c>
      <c r="B326" s="16" t="s">
        <v>11</v>
      </c>
      <c r="C326" s="31">
        <v>46250</v>
      </c>
      <c r="D326" s="17">
        <v>31620.98</v>
      </c>
      <c r="E326" s="17">
        <v>0</v>
      </c>
      <c r="F326" s="17">
        <v>2324.08</v>
      </c>
      <c r="G326" s="17">
        <v>0</v>
      </c>
      <c r="H326" s="17">
        <f t="shared" si="15"/>
        <v>29296.9</v>
      </c>
      <c r="I326" s="17">
        <v>29328.34</v>
      </c>
      <c r="J326" s="17">
        <f t="shared" si="16"/>
        <v>31.43999999999869</v>
      </c>
      <c r="K326" s="23">
        <f t="shared" si="17"/>
        <v>1.3527933633953517E-2</v>
      </c>
      <c r="L326" s="17">
        <f>SUMIFS('Registros manuales'!$D$5:$D$104,'Registros manuales'!$A$5:$A$104,A326,'Registros manuales'!$B$5:$B$104,B326,'Registros manuales'!$C$5:$C$104,C326)</f>
        <v>0</v>
      </c>
    </row>
    <row r="327" spans="1:12" x14ac:dyDescent="0.3">
      <c r="A327" s="16" t="s">
        <v>25</v>
      </c>
      <c r="B327" s="16" t="s">
        <v>11</v>
      </c>
      <c r="C327" s="31">
        <v>46251</v>
      </c>
      <c r="D327" s="17">
        <v>29328.34</v>
      </c>
      <c r="E327" s="17">
        <v>0</v>
      </c>
      <c r="F327" s="17">
        <v>1645.59</v>
      </c>
      <c r="G327" s="17">
        <v>0</v>
      </c>
      <c r="H327" s="17">
        <f t="shared" si="15"/>
        <v>27682.75</v>
      </c>
      <c r="I327" s="17">
        <v>27706.5</v>
      </c>
      <c r="J327" s="17">
        <f t="shared" si="16"/>
        <v>23.75</v>
      </c>
      <c r="K327" s="23">
        <f t="shared" si="17"/>
        <v>1.4432513566562753E-2</v>
      </c>
      <c r="L327" s="17">
        <f>SUMIFS('Registros manuales'!$D$5:$D$104,'Registros manuales'!$A$5:$A$104,A327,'Registros manuales'!$B$5:$B$104,B327,'Registros manuales'!$C$5:$C$104,C327)</f>
        <v>0</v>
      </c>
    </row>
    <row r="328" spans="1:12" x14ac:dyDescent="0.3">
      <c r="A328" s="16" t="s">
        <v>25</v>
      </c>
      <c r="B328" s="16" t="s">
        <v>11</v>
      </c>
      <c r="C328" s="31">
        <v>46252</v>
      </c>
      <c r="D328" s="17">
        <v>27706.5</v>
      </c>
      <c r="E328" s="17">
        <v>0</v>
      </c>
      <c r="F328" s="17">
        <v>1559.61</v>
      </c>
      <c r="G328" s="17">
        <v>0</v>
      </c>
      <c r="H328" s="17">
        <f t="shared" si="15"/>
        <v>26146.89</v>
      </c>
      <c r="I328" s="17">
        <v>26153.87</v>
      </c>
      <c r="J328" s="17">
        <f t="shared" si="16"/>
        <v>6.9799999999995634</v>
      </c>
      <c r="K328" s="23">
        <f t="shared" si="17"/>
        <v>4.4754778438196498E-3</v>
      </c>
      <c r="L328" s="17">
        <f>SUMIFS('Registros manuales'!$D$5:$D$104,'Registros manuales'!$A$5:$A$104,A328,'Registros manuales'!$B$5:$B$104,B328,'Registros manuales'!$C$5:$C$104,C328)</f>
        <v>0</v>
      </c>
    </row>
    <row r="329" spans="1:12" x14ac:dyDescent="0.3">
      <c r="A329" s="16" t="s">
        <v>25</v>
      </c>
      <c r="B329" s="16" t="s">
        <v>11</v>
      </c>
      <c r="C329" s="31">
        <v>46253</v>
      </c>
      <c r="D329" s="17">
        <v>26153.87</v>
      </c>
      <c r="E329" s="17">
        <v>0</v>
      </c>
      <c r="F329" s="17">
        <v>1928.38</v>
      </c>
      <c r="G329" s="17">
        <v>0</v>
      </c>
      <c r="H329" s="17">
        <f t="shared" si="15"/>
        <v>24225.489999999998</v>
      </c>
      <c r="I329" s="17">
        <v>24255.89</v>
      </c>
      <c r="J329" s="17">
        <f t="shared" si="16"/>
        <v>30.400000000001455</v>
      </c>
      <c r="K329" s="23">
        <f t="shared" si="17"/>
        <v>1.5764527738309594E-2</v>
      </c>
      <c r="L329" s="17">
        <f>SUMIFS('Registros manuales'!$D$5:$D$104,'Registros manuales'!$A$5:$A$104,A329,'Registros manuales'!$B$5:$B$104,B329,'Registros manuales'!$C$5:$C$104,C329)</f>
        <v>0</v>
      </c>
    </row>
    <row r="330" spans="1:12" x14ac:dyDescent="0.3">
      <c r="A330" s="16" t="s">
        <v>25</v>
      </c>
      <c r="B330" s="16" t="s">
        <v>11</v>
      </c>
      <c r="C330" s="31">
        <v>46254</v>
      </c>
      <c r="D330" s="17">
        <v>24255.89</v>
      </c>
      <c r="E330" s="17">
        <v>0</v>
      </c>
      <c r="F330" s="17">
        <v>1873.91</v>
      </c>
      <c r="G330" s="17">
        <v>0</v>
      </c>
      <c r="H330" s="17">
        <f t="shared" si="15"/>
        <v>22381.98</v>
      </c>
      <c r="I330" s="17">
        <v>22421.55</v>
      </c>
      <c r="J330" s="17">
        <f t="shared" si="16"/>
        <v>39.569999999999709</v>
      </c>
      <c r="K330" s="23">
        <f t="shared" si="17"/>
        <v>2.1116275594879001E-2</v>
      </c>
      <c r="L330" s="17">
        <f>SUMIFS('Registros manuales'!$D$5:$D$104,'Registros manuales'!$A$5:$A$104,A330,'Registros manuales'!$B$5:$B$104,B330,'Registros manuales'!$C$5:$C$104,C330)</f>
        <v>0</v>
      </c>
    </row>
    <row r="331" spans="1:12" x14ac:dyDescent="0.3">
      <c r="A331" s="16" t="s">
        <v>25</v>
      </c>
      <c r="B331" s="16" t="s">
        <v>11</v>
      </c>
      <c r="C331" s="31">
        <v>46255</v>
      </c>
      <c r="D331" s="17">
        <v>22421.55</v>
      </c>
      <c r="E331" s="17">
        <v>0</v>
      </c>
      <c r="F331" s="17">
        <v>2146.16</v>
      </c>
      <c r="G331" s="17">
        <v>0</v>
      </c>
      <c r="H331" s="17">
        <f t="shared" si="15"/>
        <v>20275.39</v>
      </c>
      <c r="I331" s="17">
        <v>20303.41</v>
      </c>
      <c r="J331" s="17">
        <f t="shared" si="16"/>
        <v>28.020000000000437</v>
      </c>
      <c r="K331" s="23">
        <f t="shared" si="17"/>
        <v>1.3055876542289688E-2</v>
      </c>
      <c r="L331" s="17">
        <f>SUMIFS('Registros manuales'!$D$5:$D$104,'Registros manuales'!$A$5:$A$104,A331,'Registros manuales'!$B$5:$B$104,B331,'Registros manuales'!$C$5:$C$104,C331)</f>
        <v>0</v>
      </c>
    </row>
    <row r="332" spans="1:12" x14ac:dyDescent="0.3">
      <c r="A332" s="16" t="s">
        <v>25</v>
      </c>
      <c r="B332" s="16" t="s">
        <v>11</v>
      </c>
      <c r="C332" s="31">
        <v>46256</v>
      </c>
      <c r="D332" s="17">
        <v>20303.41</v>
      </c>
      <c r="E332" s="17">
        <v>0</v>
      </c>
      <c r="F332" s="17">
        <v>2294.21</v>
      </c>
      <c r="G332" s="17">
        <v>0</v>
      </c>
      <c r="H332" s="17">
        <f t="shared" si="15"/>
        <v>18009.2</v>
      </c>
      <c r="I332" s="17">
        <v>18056.3</v>
      </c>
      <c r="J332" s="17">
        <f t="shared" si="16"/>
        <v>47.099999999998545</v>
      </c>
      <c r="K332" s="23">
        <f t="shared" si="17"/>
        <v>2.0529942768969949E-2</v>
      </c>
      <c r="L332" s="17">
        <f>SUMIFS('Registros manuales'!$D$5:$D$104,'Registros manuales'!$A$5:$A$104,A332,'Registros manuales'!$B$5:$B$104,B332,'Registros manuales'!$C$5:$C$104,C332)</f>
        <v>0</v>
      </c>
    </row>
    <row r="333" spans="1:12" x14ac:dyDescent="0.3">
      <c r="A333" s="16" t="s">
        <v>25</v>
      </c>
      <c r="B333" s="16" t="s">
        <v>11</v>
      </c>
      <c r="C333" s="31">
        <v>46257</v>
      </c>
      <c r="D333" s="17">
        <v>18056.3</v>
      </c>
      <c r="E333" s="17">
        <v>0</v>
      </c>
      <c r="F333" s="17">
        <v>1677.13</v>
      </c>
      <c r="G333" s="17">
        <v>0</v>
      </c>
      <c r="H333" s="17">
        <f t="shared" si="15"/>
        <v>16379.169999999998</v>
      </c>
      <c r="I333" s="17">
        <v>16402.45</v>
      </c>
      <c r="J333" s="17">
        <f t="shared" si="16"/>
        <v>23.280000000002474</v>
      </c>
      <c r="K333" s="23">
        <f t="shared" si="17"/>
        <v>1.3880855986120618E-2</v>
      </c>
      <c r="L333" s="17">
        <f>SUMIFS('Registros manuales'!$D$5:$D$104,'Registros manuales'!$A$5:$A$104,A333,'Registros manuales'!$B$5:$B$104,B333,'Registros manuales'!$C$5:$C$104,C333)</f>
        <v>0</v>
      </c>
    </row>
    <row r="334" spans="1:12" x14ac:dyDescent="0.3">
      <c r="A334" s="16" t="s">
        <v>25</v>
      </c>
      <c r="B334" s="16" t="s">
        <v>11</v>
      </c>
      <c r="C334" s="31">
        <v>46258</v>
      </c>
      <c r="D334" s="17">
        <v>16402.45</v>
      </c>
      <c r="E334" s="17">
        <v>0</v>
      </c>
      <c r="F334" s="17">
        <v>2205.54</v>
      </c>
      <c r="G334" s="17">
        <v>0</v>
      </c>
      <c r="H334" s="17">
        <f t="shared" si="15"/>
        <v>14196.91</v>
      </c>
      <c r="I334" s="17">
        <v>14231.17</v>
      </c>
      <c r="J334" s="17">
        <f t="shared" si="16"/>
        <v>34.260000000000218</v>
      </c>
      <c r="K334" s="23">
        <f t="shared" si="17"/>
        <v>1.5533610816398804E-2</v>
      </c>
      <c r="L334" s="17">
        <f>SUMIFS('Registros manuales'!$D$5:$D$104,'Registros manuales'!$A$5:$A$104,A334,'Registros manuales'!$B$5:$B$104,B334,'Registros manuales'!$C$5:$C$104,C334)</f>
        <v>0</v>
      </c>
    </row>
    <row r="335" spans="1:12" x14ac:dyDescent="0.3">
      <c r="A335" s="16" t="s">
        <v>25</v>
      </c>
      <c r="B335" s="16" t="s">
        <v>11</v>
      </c>
      <c r="C335" s="31">
        <v>46259</v>
      </c>
      <c r="D335" s="17">
        <v>14231.17</v>
      </c>
      <c r="E335" s="17">
        <v>0</v>
      </c>
      <c r="F335" s="17">
        <v>2084.85</v>
      </c>
      <c r="G335" s="17">
        <v>0</v>
      </c>
      <c r="H335" s="17">
        <f t="shared" si="15"/>
        <v>12146.32</v>
      </c>
      <c r="I335" s="17">
        <v>12183.02</v>
      </c>
      <c r="J335" s="17">
        <f t="shared" si="16"/>
        <v>36.700000000000728</v>
      </c>
      <c r="K335" s="23">
        <f t="shared" si="17"/>
        <v>1.7603184881406685E-2</v>
      </c>
      <c r="L335" s="17">
        <f>SUMIFS('Registros manuales'!$D$5:$D$104,'Registros manuales'!$A$5:$A$104,A335,'Registros manuales'!$B$5:$B$104,B335,'Registros manuales'!$C$5:$C$104,C335)</f>
        <v>0</v>
      </c>
    </row>
    <row r="336" spans="1:12" x14ac:dyDescent="0.3">
      <c r="A336" s="16" t="s">
        <v>25</v>
      </c>
      <c r="B336" s="16" t="s">
        <v>11</v>
      </c>
      <c r="C336" s="31">
        <v>46260</v>
      </c>
      <c r="D336" s="17">
        <v>12183.02</v>
      </c>
      <c r="E336" s="17">
        <v>0</v>
      </c>
      <c r="F336" s="17">
        <v>2530.31</v>
      </c>
      <c r="G336" s="17">
        <v>0</v>
      </c>
      <c r="H336" s="17">
        <f t="shared" si="15"/>
        <v>9652.7100000000009</v>
      </c>
      <c r="I336" s="17">
        <v>9693.5</v>
      </c>
      <c r="J336" s="17">
        <f t="shared" si="16"/>
        <v>40.789999999999054</v>
      </c>
      <c r="K336" s="23">
        <f t="shared" si="17"/>
        <v>1.6120554398472542E-2</v>
      </c>
      <c r="L336" s="17">
        <f>SUMIFS('Registros manuales'!$D$5:$D$104,'Registros manuales'!$A$5:$A$104,A336,'Registros manuales'!$B$5:$B$104,B336,'Registros manuales'!$C$5:$C$104,C336)</f>
        <v>0</v>
      </c>
    </row>
    <row r="337" spans="1:12" x14ac:dyDescent="0.3">
      <c r="A337" s="16" t="s">
        <v>25</v>
      </c>
      <c r="B337" s="16" t="s">
        <v>11</v>
      </c>
      <c r="C337" s="31">
        <v>46261</v>
      </c>
      <c r="D337" s="17">
        <v>9693.5</v>
      </c>
      <c r="E337" s="17">
        <v>0</v>
      </c>
      <c r="F337" s="17">
        <v>2190.67</v>
      </c>
      <c r="G337" s="17">
        <v>0</v>
      </c>
      <c r="H337" s="17">
        <f t="shared" si="15"/>
        <v>7502.83</v>
      </c>
      <c r="I337" s="17">
        <v>7542.52</v>
      </c>
      <c r="J337" s="17">
        <f t="shared" si="16"/>
        <v>39.690000000000509</v>
      </c>
      <c r="K337" s="23">
        <f t="shared" si="17"/>
        <v>1.8117744799536446E-2</v>
      </c>
      <c r="L337" s="17">
        <f>SUMIFS('Registros manuales'!$D$5:$D$104,'Registros manuales'!$A$5:$A$104,A337,'Registros manuales'!$B$5:$B$104,B337,'Registros manuales'!$C$5:$C$104,C337)</f>
        <v>0</v>
      </c>
    </row>
    <row r="338" spans="1:12" x14ac:dyDescent="0.3">
      <c r="A338" s="16" t="s">
        <v>25</v>
      </c>
      <c r="B338" s="16" t="s">
        <v>11</v>
      </c>
      <c r="C338" s="31">
        <v>46262</v>
      </c>
      <c r="D338" s="17">
        <v>7542.52</v>
      </c>
      <c r="E338" s="17">
        <v>0</v>
      </c>
      <c r="F338" s="17">
        <v>2318.58</v>
      </c>
      <c r="G338" s="17">
        <v>0</v>
      </c>
      <c r="H338" s="17">
        <f t="shared" si="15"/>
        <v>5223.9400000000005</v>
      </c>
      <c r="I338" s="17">
        <v>5275.08</v>
      </c>
      <c r="J338" s="17">
        <f t="shared" si="16"/>
        <v>51.139999999999418</v>
      </c>
      <c r="K338" s="23">
        <f t="shared" si="17"/>
        <v>2.2056603610830516E-2</v>
      </c>
      <c r="L338" s="17">
        <f>SUMIFS('Registros manuales'!$D$5:$D$104,'Registros manuales'!$A$5:$A$104,A338,'Registros manuales'!$B$5:$B$104,B338,'Registros manuales'!$C$5:$C$104,C338)</f>
        <v>0</v>
      </c>
    </row>
    <row r="339" spans="1:12" x14ac:dyDescent="0.3">
      <c r="A339" s="16" t="s">
        <v>25</v>
      </c>
      <c r="B339" s="16" t="s">
        <v>11</v>
      </c>
      <c r="C339" s="31">
        <v>46263</v>
      </c>
      <c r="D339" s="17">
        <v>5275.08</v>
      </c>
      <c r="E339" s="17">
        <v>0</v>
      </c>
      <c r="F339" s="17">
        <v>2531.64</v>
      </c>
      <c r="G339" s="17">
        <v>0</v>
      </c>
      <c r="H339" s="17">
        <f t="shared" si="15"/>
        <v>2743.44</v>
      </c>
      <c r="I339" s="17">
        <v>2807.98</v>
      </c>
      <c r="J339" s="17">
        <f t="shared" si="16"/>
        <v>64.539999999999964</v>
      </c>
      <c r="K339" s="23">
        <f t="shared" si="17"/>
        <v>2.5493356085383376E-2</v>
      </c>
      <c r="L339" s="17">
        <f>SUMIFS('Registros manuales'!$D$5:$D$104,'Registros manuales'!$A$5:$A$104,A339,'Registros manuales'!$B$5:$B$104,B339,'Registros manuales'!$C$5:$C$104,C339)</f>
        <v>0</v>
      </c>
    </row>
    <row r="340" spans="1:12" x14ac:dyDescent="0.3">
      <c r="A340" s="16" t="s">
        <v>25</v>
      </c>
      <c r="B340" s="16" t="s">
        <v>11</v>
      </c>
      <c r="C340" s="31">
        <v>46264</v>
      </c>
      <c r="D340" s="17">
        <v>2807.98</v>
      </c>
      <c r="E340" s="17">
        <v>0</v>
      </c>
      <c r="F340" s="17">
        <v>1220.6199999999999</v>
      </c>
      <c r="G340" s="17">
        <v>0</v>
      </c>
      <c r="H340" s="17">
        <f t="shared" si="15"/>
        <v>1587.3600000000001</v>
      </c>
      <c r="I340" s="17">
        <v>1624.86</v>
      </c>
      <c r="J340" s="17">
        <f t="shared" si="16"/>
        <v>37.499999999999773</v>
      </c>
      <c r="K340" s="23">
        <f t="shared" si="17"/>
        <v>3.072209205158016E-2</v>
      </c>
      <c r="L340" s="17">
        <f>SUMIFS('Registros manuales'!$D$5:$D$104,'Registros manuales'!$A$5:$A$104,A340,'Registros manuales'!$B$5:$B$104,B340,'Registros manuales'!$C$5:$C$104,C340)</f>
        <v>0</v>
      </c>
    </row>
    <row r="341" spans="1:12" x14ac:dyDescent="0.3">
      <c r="A341" s="16" t="s">
        <v>25</v>
      </c>
      <c r="B341" s="16" t="s">
        <v>11</v>
      </c>
      <c r="C341" s="31">
        <v>46265</v>
      </c>
      <c r="D341" s="17">
        <v>1624.86</v>
      </c>
      <c r="E341" s="17">
        <v>29905</v>
      </c>
      <c r="F341" s="17">
        <v>673.41</v>
      </c>
      <c r="G341" s="17">
        <v>0</v>
      </c>
      <c r="H341" s="17">
        <f t="shared" si="15"/>
        <v>30856.45</v>
      </c>
      <c r="I341" s="17">
        <v>30015.15</v>
      </c>
      <c r="J341" s="17">
        <f t="shared" si="16"/>
        <v>-841.29999999999927</v>
      </c>
      <c r="K341" s="23">
        <f t="shared" si="17"/>
        <v>-1.2493131970122204</v>
      </c>
      <c r="L341" s="17">
        <f>SUMIFS('Registros manuales'!$D$5:$D$104,'Registros manuales'!$A$5:$A$104,A341,'Registros manuales'!$B$5:$B$104,B341,'Registros manuales'!$C$5:$C$104,C341)</f>
        <v>0</v>
      </c>
    </row>
    <row r="342" spans="1:12" x14ac:dyDescent="0.3">
      <c r="A342" s="16" t="s">
        <v>25</v>
      </c>
      <c r="B342" s="16" t="s">
        <v>12</v>
      </c>
      <c r="C342" s="31">
        <v>46237</v>
      </c>
      <c r="D342" s="17">
        <v>0</v>
      </c>
      <c r="E342" s="17">
        <v>0</v>
      </c>
      <c r="F342" s="17">
        <v>7842.07</v>
      </c>
      <c r="G342" s="17">
        <v>38703</v>
      </c>
      <c r="H342" s="17">
        <f t="shared" si="15"/>
        <v>30860.93</v>
      </c>
      <c r="I342" s="17">
        <v>30818.16</v>
      </c>
      <c r="J342" s="17">
        <f t="shared" si="16"/>
        <v>-42.770000000000437</v>
      </c>
      <c r="K342" s="23">
        <f t="shared" si="17"/>
        <v>-5.4539171417751229E-3</v>
      </c>
      <c r="L342" s="17">
        <f>SUMIFS('Registros manuales'!$D$5:$D$104,'Registros manuales'!$A$5:$A$104,A342,'Registros manuales'!$B$5:$B$104,B342,'Registros manuales'!$C$5:$C$104,C342)</f>
        <v>0</v>
      </c>
    </row>
    <row r="343" spans="1:12" x14ac:dyDescent="0.3">
      <c r="A343" s="16" t="s">
        <v>25</v>
      </c>
      <c r="B343" s="16" t="s">
        <v>12</v>
      </c>
      <c r="C343" s="31">
        <v>46238</v>
      </c>
      <c r="D343" s="17">
        <v>30818.16</v>
      </c>
      <c r="E343" s="17">
        <v>0</v>
      </c>
      <c r="F343" s="17">
        <v>13352.13</v>
      </c>
      <c r="G343" s="17">
        <v>0</v>
      </c>
      <c r="H343" s="17">
        <f t="shared" si="15"/>
        <v>17466.03</v>
      </c>
      <c r="I343" s="17">
        <v>17451.39</v>
      </c>
      <c r="J343" s="17">
        <f t="shared" si="16"/>
        <v>-14.639999999999418</v>
      </c>
      <c r="K343" s="23">
        <f t="shared" si="17"/>
        <v>-1.0964542735877661E-3</v>
      </c>
      <c r="L343" s="17">
        <f>SUMIFS('Registros manuales'!$D$5:$D$104,'Registros manuales'!$A$5:$A$104,A343,'Registros manuales'!$B$5:$B$104,B343,'Registros manuales'!$C$5:$C$104,C343)</f>
        <v>0</v>
      </c>
    </row>
    <row r="344" spans="1:12" x14ac:dyDescent="0.3">
      <c r="A344" s="16" t="s">
        <v>25</v>
      </c>
      <c r="B344" s="16" t="s">
        <v>12</v>
      </c>
      <c r="C344" s="31">
        <v>46239</v>
      </c>
      <c r="D344" s="17">
        <v>17451.39</v>
      </c>
      <c r="E344" s="17">
        <v>33359</v>
      </c>
      <c r="F344" s="17">
        <v>10897.54</v>
      </c>
      <c r="G344" s="17">
        <v>0</v>
      </c>
      <c r="H344" s="17">
        <f t="shared" si="15"/>
        <v>39912.85</v>
      </c>
      <c r="I344" s="17">
        <v>40046.339999999997</v>
      </c>
      <c r="J344" s="17">
        <f t="shared" si="16"/>
        <v>133.48999999999796</v>
      </c>
      <c r="K344" s="23">
        <f t="shared" si="17"/>
        <v>1.2249553568970424E-2</v>
      </c>
      <c r="L344" s="17">
        <f>SUMIFS('Registros manuales'!$D$5:$D$104,'Registros manuales'!$A$5:$A$104,A344,'Registros manuales'!$B$5:$B$104,B344,'Registros manuales'!$C$5:$C$104,C344)</f>
        <v>0</v>
      </c>
    </row>
    <row r="345" spans="1:12" x14ac:dyDescent="0.3">
      <c r="A345" s="16" t="s">
        <v>25</v>
      </c>
      <c r="B345" s="16" t="s">
        <v>12</v>
      </c>
      <c r="C345" s="31">
        <v>46240</v>
      </c>
      <c r="D345" s="17">
        <v>40046.339999999997</v>
      </c>
      <c r="E345" s="17">
        <v>0</v>
      </c>
      <c r="F345" s="17">
        <v>11728.02</v>
      </c>
      <c r="G345" s="17">
        <v>0</v>
      </c>
      <c r="H345" s="17">
        <f t="shared" si="15"/>
        <v>28318.319999999996</v>
      </c>
      <c r="I345" s="17">
        <v>28291.86</v>
      </c>
      <c r="J345" s="17">
        <f t="shared" si="16"/>
        <v>-26.459999999995489</v>
      </c>
      <c r="K345" s="23">
        <f t="shared" si="17"/>
        <v>-2.2561353067265819E-3</v>
      </c>
      <c r="L345" s="17">
        <f>SUMIFS('Registros manuales'!$D$5:$D$104,'Registros manuales'!$A$5:$A$104,A345,'Registros manuales'!$B$5:$B$104,B345,'Registros manuales'!$C$5:$C$104,C345)</f>
        <v>0</v>
      </c>
    </row>
    <row r="346" spans="1:12" x14ac:dyDescent="0.3">
      <c r="A346" s="16" t="s">
        <v>25</v>
      </c>
      <c r="B346" s="16" t="s">
        <v>12</v>
      </c>
      <c r="C346" s="31">
        <v>46241</v>
      </c>
      <c r="D346" s="17">
        <v>28291.86</v>
      </c>
      <c r="E346" s="17">
        <v>0</v>
      </c>
      <c r="F346" s="17">
        <v>10127.629999999999</v>
      </c>
      <c r="G346" s="17">
        <v>0</v>
      </c>
      <c r="H346" s="17">
        <f t="shared" si="15"/>
        <v>18164.230000000003</v>
      </c>
      <c r="I346" s="17">
        <v>18171.32</v>
      </c>
      <c r="J346" s="17">
        <f t="shared" si="16"/>
        <v>7.0899999999965075</v>
      </c>
      <c r="K346" s="23">
        <f t="shared" si="17"/>
        <v>7.0006506951740023E-4</v>
      </c>
      <c r="L346" s="17">
        <f>SUMIFS('Registros manuales'!$D$5:$D$104,'Registros manuales'!$A$5:$A$104,A346,'Registros manuales'!$B$5:$B$104,B346,'Registros manuales'!$C$5:$C$104,C346)</f>
        <v>0</v>
      </c>
    </row>
    <row r="347" spans="1:12" x14ac:dyDescent="0.3">
      <c r="A347" s="16" t="s">
        <v>25</v>
      </c>
      <c r="B347" s="16" t="s">
        <v>12</v>
      </c>
      <c r="C347" s="31">
        <v>46242</v>
      </c>
      <c r="D347" s="17">
        <v>18171.32</v>
      </c>
      <c r="E347" s="17">
        <v>29896</v>
      </c>
      <c r="F347" s="17">
        <v>12381.66</v>
      </c>
      <c r="G347" s="17">
        <v>0</v>
      </c>
      <c r="H347" s="17">
        <f t="shared" si="15"/>
        <v>35685.660000000003</v>
      </c>
      <c r="I347" s="17">
        <v>35649.21</v>
      </c>
      <c r="J347" s="17">
        <f t="shared" si="16"/>
        <v>-36.450000000004366</v>
      </c>
      <c r="K347" s="23">
        <f t="shared" si="17"/>
        <v>-2.9438702080338474E-3</v>
      </c>
      <c r="L347" s="17">
        <f>SUMIFS('Registros manuales'!$D$5:$D$104,'Registros manuales'!$A$5:$A$104,A347,'Registros manuales'!$B$5:$B$104,B347,'Registros manuales'!$C$5:$C$104,C347)</f>
        <v>0</v>
      </c>
    </row>
    <row r="348" spans="1:12" x14ac:dyDescent="0.3">
      <c r="A348" s="16" t="s">
        <v>25</v>
      </c>
      <c r="B348" s="16" t="s">
        <v>12</v>
      </c>
      <c r="C348" s="31">
        <v>46243</v>
      </c>
      <c r="D348" s="17">
        <v>35649.21</v>
      </c>
      <c r="E348" s="17">
        <v>0</v>
      </c>
      <c r="F348" s="17">
        <v>6225.79</v>
      </c>
      <c r="G348" s="17">
        <v>0</v>
      </c>
      <c r="H348" s="17">
        <f t="shared" si="15"/>
        <v>29423.42</v>
      </c>
      <c r="I348" s="17">
        <v>29404.53</v>
      </c>
      <c r="J348" s="17">
        <f t="shared" si="16"/>
        <v>-18.889999999999418</v>
      </c>
      <c r="K348" s="23">
        <f t="shared" si="17"/>
        <v>-3.0341530954303658E-3</v>
      </c>
      <c r="L348" s="17">
        <f>SUMIFS('Registros manuales'!$D$5:$D$104,'Registros manuales'!$A$5:$A$104,A348,'Registros manuales'!$B$5:$B$104,B348,'Registros manuales'!$C$5:$C$104,C348)</f>
        <v>0</v>
      </c>
    </row>
    <row r="349" spans="1:12" x14ac:dyDescent="0.3">
      <c r="A349" s="16" t="s">
        <v>25</v>
      </c>
      <c r="B349" s="16" t="s">
        <v>12</v>
      </c>
      <c r="C349" s="31">
        <v>46244</v>
      </c>
      <c r="D349" s="17">
        <v>29404.53</v>
      </c>
      <c r="E349" s="17">
        <v>0</v>
      </c>
      <c r="F349" s="17">
        <v>8182.36</v>
      </c>
      <c r="G349" s="17">
        <v>0</v>
      </c>
      <c r="H349" s="17">
        <f t="shared" si="15"/>
        <v>21222.17</v>
      </c>
      <c r="I349" s="17">
        <v>21219.79</v>
      </c>
      <c r="J349" s="17">
        <f t="shared" si="16"/>
        <v>-2.3799999999973807</v>
      </c>
      <c r="K349" s="23">
        <f t="shared" si="17"/>
        <v>-2.9086962685550145E-4</v>
      </c>
      <c r="L349" s="17">
        <f>SUMIFS('Registros manuales'!$D$5:$D$104,'Registros manuales'!$A$5:$A$104,A349,'Registros manuales'!$B$5:$B$104,B349,'Registros manuales'!$C$5:$C$104,C349)</f>
        <v>0</v>
      </c>
    </row>
    <row r="350" spans="1:12" x14ac:dyDescent="0.3">
      <c r="A350" s="16" t="s">
        <v>25</v>
      </c>
      <c r="B350" s="16" t="s">
        <v>12</v>
      </c>
      <c r="C350" s="31">
        <v>46245</v>
      </c>
      <c r="D350" s="17">
        <v>21219.79</v>
      </c>
      <c r="E350" s="17">
        <v>29937</v>
      </c>
      <c r="F350" s="17">
        <v>13674.41</v>
      </c>
      <c r="G350" s="17">
        <v>0</v>
      </c>
      <c r="H350" s="17">
        <f t="shared" si="15"/>
        <v>37482.380000000005</v>
      </c>
      <c r="I350" s="17">
        <v>37531.17</v>
      </c>
      <c r="J350" s="17">
        <f t="shared" si="16"/>
        <v>48.789999999993597</v>
      </c>
      <c r="K350" s="23">
        <f t="shared" si="17"/>
        <v>3.5679784356322207E-3</v>
      </c>
      <c r="L350" s="17">
        <f>SUMIFS('Registros manuales'!$D$5:$D$104,'Registros manuales'!$A$5:$A$104,A350,'Registros manuales'!$B$5:$B$104,B350,'Registros manuales'!$C$5:$C$104,C350)</f>
        <v>0</v>
      </c>
    </row>
    <row r="351" spans="1:12" x14ac:dyDescent="0.3">
      <c r="A351" s="16" t="s">
        <v>25</v>
      </c>
      <c r="B351" s="16" t="s">
        <v>12</v>
      </c>
      <c r="C351" s="31">
        <v>46246</v>
      </c>
      <c r="D351" s="17">
        <v>37531.17</v>
      </c>
      <c r="E351" s="17">
        <v>0</v>
      </c>
      <c r="F351" s="17">
        <v>14179.88</v>
      </c>
      <c r="G351" s="17">
        <v>0</v>
      </c>
      <c r="H351" s="17">
        <f t="shared" si="15"/>
        <v>23351.29</v>
      </c>
      <c r="I351" s="17">
        <v>23319.22</v>
      </c>
      <c r="J351" s="17">
        <f t="shared" si="16"/>
        <v>-32.069999999999709</v>
      </c>
      <c r="K351" s="23">
        <f t="shared" si="17"/>
        <v>-2.2616552467298531E-3</v>
      </c>
      <c r="L351" s="17">
        <f>SUMIFS('Registros manuales'!$D$5:$D$104,'Registros manuales'!$A$5:$A$104,A351,'Registros manuales'!$B$5:$B$104,B351,'Registros manuales'!$C$5:$C$104,C351)</f>
        <v>0</v>
      </c>
    </row>
    <row r="352" spans="1:12" x14ac:dyDescent="0.3">
      <c r="A352" s="16" t="s">
        <v>25</v>
      </c>
      <c r="B352" s="16" t="s">
        <v>12</v>
      </c>
      <c r="C352" s="31">
        <v>46247</v>
      </c>
      <c r="D352" s="17">
        <v>23319.22</v>
      </c>
      <c r="E352" s="17">
        <v>30130</v>
      </c>
      <c r="F352" s="17">
        <v>12088.09</v>
      </c>
      <c r="G352" s="17">
        <v>0</v>
      </c>
      <c r="H352" s="17">
        <f t="shared" si="15"/>
        <v>41361.130000000005</v>
      </c>
      <c r="I352" s="17">
        <v>41481.07</v>
      </c>
      <c r="J352" s="17">
        <f t="shared" si="16"/>
        <v>119.93999999999505</v>
      </c>
      <c r="K352" s="23">
        <f t="shared" si="17"/>
        <v>9.9221630547088133E-3</v>
      </c>
      <c r="L352" s="17">
        <f>SUMIFS('Registros manuales'!$D$5:$D$104,'Registros manuales'!$A$5:$A$104,A352,'Registros manuales'!$B$5:$B$104,B352,'Registros manuales'!$C$5:$C$104,C352)</f>
        <v>0</v>
      </c>
    </row>
    <row r="353" spans="1:12" x14ac:dyDescent="0.3">
      <c r="A353" s="16" t="s">
        <v>25</v>
      </c>
      <c r="B353" s="16" t="s">
        <v>12</v>
      </c>
      <c r="C353" s="31">
        <v>46248</v>
      </c>
      <c r="D353" s="17">
        <v>41481.07</v>
      </c>
      <c r="E353" s="17">
        <v>0</v>
      </c>
      <c r="F353" s="17">
        <v>8327.94</v>
      </c>
      <c r="G353" s="17">
        <v>0</v>
      </c>
      <c r="H353" s="17">
        <f t="shared" si="15"/>
        <v>33153.129999999997</v>
      </c>
      <c r="I353" s="17">
        <v>33185.43</v>
      </c>
      <c r="J353" s="17">
        <f t="shared" si="16"/>
        <v>32.30000000000291</v>
      </c>
      <c r="K353" s="23">
        <f t="shared" si="17"/>
        <v>3.8785101717835275E-3</v>
      </c>
      <c r="L353" s="17">
        <f>SUMIFS('Registros manuales'!$D$5:$D$104,'Registros manuales'!$A$5:$A$104,A353,'Registros manuales'!$B$5:$B$104,B353,'Registros manuales'!$C$5:$C$104,C353)</f>
        <v>0</v>
      </c>
    </row>
    <row r="354" spans="1:12" x14ac:dyDescent="0.3">
      <c r="A354" s="16" t="s">
        <v>25</v>
      </c>
      <c r="B354" s="16" t="s">
        <v>12</v>
      </c>
      <c r="C354" s="31">
        <v>46249</v>
      </c>
      <c r="D354" s="17">
        <v>33185.43</v>
      </c>
      <c r="E354" s="17">
        <v>0</v>
      </c>
      <c r="F354" s="17">
        <v>11027.95</v>
      </c>
      <c r="G354" s="17">
        <v>0</v>
      </c>
      <c r="H354" s="17">
        <f t="shared" si="15"/>
        <v>22157.48</v>
      </c>
      <c r="I354" s="17">
        <v>22157.74</v>
      </c>
      <c r="J354" s="17">
        <f t="shared" si="16"/>
        <v>0.26000000000203727</v>
      </c>
      <c r="K354" s="23">
        <f t="shared" si="17"/>
        <v>2.357645800008499E-5</v>
      </c>
      <c r="L354" s="17">
        <f>SUMIFS('Registros manuales'!$D$5:$D$104,'Registros manuales'!$A$5:$A$104,A354,'Registros manuales'!$B$5:$B$104,B354,'Registros manuales'!$C$5:$C$104,C354)</f>
        <v>0</v>
      </c>
    </row>
    <row r="355" spans="1:12" x14ac:dyDescent="0.3">
      <c r="A355" s="16" t="s">
        <v>25</v>
      </c>
      <c r="B355" s="16" t="s">
        <v>12</v>
      </c>
      <c r="C355" s="31">
        <v>46250</v>
      </c>
      <c r="D355" s="17">
        <v>22157.74</v>
      </c>
      <c r="E355" s="17">
        <v>0</v>
      </c>
      <c r="F355" s="17">
        <v>6866.65</v>
      </c>
      <c r="G355" s="17">
        <v>0</v>
      </c>
      <c r="H355" s="17">
        <f t="shared" si="15"/>
        <v>15291.090000000002</v>
      </c>
      <c r="I355" s="17">
        <v>15319.02</v>
      </c>
      <c r="J355" s="17">
        <f t="shared" si="16"/>
        <v>27.929999999998472</v>
      </c>
      <c r="K355" s="23">
        <f t="shared" si="17"/>
        <v>4.0674856006929832E-3</v>
      </c>
      <c r="L355" s="17">
        <f>SUMIFS('Registros manuales'!$D$5:$D$104,'Registros manuales'!$A$5:$A$104,A355,'Registros manuales'!$B$5:$B$104,B355,'Registros manuales'!$C$5:$C$104,C355)</f>
        <v>0</v>
      </c>
    </row>
    <row r="356" spans="1:12" x14ac:dyDescent="0.3">
      <c r="A356" s="16" t="s">
        <v>25</v>
      </c>
      <c r="B356" s="16" t="s">
        <v>12</v>
      </c>
      <c r="C356" s="31">
        <v>46251</v>
      </c>
      <c r="D356" s="17">
        <v>15319.02</v>
      </c>
      <c r="E356" s="17">
        <v>30139</v>
      </c>
      <c r="F356" s="17">
        <v>11675.49</v>
      </c>
      <c r="G356" s="17">
        <v>0</v>
      </c>
      <c r="H356" s="17">
        <f t="shared" si="15"/>
        <v>33782.530000000006</v>
      </c>
      <c r="I356" s="17">
        <v>33607.269999999997</v>
      </c>
      <c r="J356" s="17">
        <f t="shared" si="16"/>
        <v>-175.26000000000931</v>
      </c>
      <c r="K356" s="23">
        <f t="shared" si="17"/>
        <v>-1.5010933159979523E-2</v>
      </c>
      <c r="L356" s="17">
        <f>SUMIFS('Registros manuales'!$D$5:$D$104,'Registros manuales'!$A$5:$A$104,A356,'Registros manuales'!$B$5:$B$104,B356,'Registros manuales'!$C$5:$C$104,C356)</f>
        <v>0</v>
      </c>
    </row>
    <row r="357" spans="1:12" x14ac:dyDescent="0.3">
      <c r="A357" s="16" t="s">
        <v>25</v>
      </c>
      <c r="B357" s="16" t="s">
        <v>12</v>
      </c>
      <c r="C357" s="31">
        <v>46252</v>
      </c>
      <c r="D357" s="17">
        <v>33607.269999999997</v>
      </c>
      <c r="E357" s="17">
        <v>0</v>
      </c>
      <c r="F357" s="17">
        <v>13591.12</v>
      </c>
      <c r="G357" s="17">
        <v>0</v>
      </c>
      <c r="H357" s="17">
        <f t="shared" si="15"/>
        <v>20016.149999999994</v>
      </c>
      <c r="I357" s="17">
        <v>20048.23</v>
      </c>
      <c r="J357" s="17">
        <f t="shared" si="16"/>
        <v>32.080000000005384</v>
      </c>
      <c r="K357" s="23">
        <f t="shared" si="17"/>
        <v>2.3603647087219732E-3</v>
      </c>
      <c r="L357" s="17">
        <f>SUMIFS('Registros manuales'!$D$5:$D$104,'Registros manuales'!$A$5:$A$104,A357,'Registros manuales'!$B$5:$B$104,B357,'Registros manuales'!$C$5:$C$104,C357)</f>
        <v>0</v>
      </c>
    </row>
    <row r="358" spans="1:12" x14ac:dyDescent="0.3">
      <c r="A358" s="16" t="s">
        <v>25</v>
      </c>
      <c r="B358" s="16" t="s">
        <v>12</v>
      </c>
      <c r="C358" s="31">
        <v>46253</v>
      </c>
      <c r="D358" s="17">
        <v>20048.23</v>
      </c>
      <c r="E358" s="17">
        <v>0</v>
      </c>
      <c r="F358" s="17">
        <v>11947.03</v>
      </c>
      <c r="G358" s="17">
        <v>0</v>
      </c>
      <c r="H358" s="17">
        <f t="shared" si="15"/>
        <v>8101.1999999999989</v>
      </c>
      <c r="I358" s="17">
        <v>8193.4500000000007</v>
      </c>
      <c r="J358" s="17">
        <f t="shared" si="16"/>
        <v>92.250000000001819</v>
      </c>
      <c r="K358" s="23">
        <f t="shared" si="17"/>
        <v>7.7215843602972296E-3</v>
      </c>
      <c r="L358" s="17">
        <f>SUMIFS('Registros manuales'!$D$5:$D$104,'Registros manuales'!$A$5:$A$104,A358,'Registros manuales'!$B$5:$B$104,B358,'Registros manuales'!$C$5:$C$104,C358)</f>
        <v>0</v>
      </c>
    </row>
    <row r="359" spans="1:12" x14ac:dyDescent="0.3">
      <c r="A359" s="16" t="s">
        <v>25</v>
      </c>
      <c r="B359" s="16" t="s">
        <v>12</v>
      </c>
      <c r="C359" s="31">
        <v>46254</v>
      </c>
      <c r="D359" s="17">
        <v>8193.4500000000007</v>
      </c>
      <c r="E359" s="17">
        <v>30058</v>
      </c>
      <c r="F359" s="17">
        <v>14037.21</v>
      </c>
      <c r="G359" s="17">
        <v>0</v>
      </c>
      <c r="H359" s="17">
        <f t="shared" si="15"/>
        <v>24214.239999999998</v>
      </c>
      <c r="I359" s="17">
        <v>24169.65</v>
      </c>
      <c r="J359" s="17">
        <f t="shared" si="16"/>
        <v>-44.589999999996508</v>
      </c>
      <c r="K359" s="23">
        <f t="shared" si="17"/>
        <v>-3.1765571648494618E-3</v>
      </c>
      <c r="L359" s="17">
        <f>SUMIFS('Registros manuales'!$D$5:$D$104,'Registros manuales'!$A$5:$A$104,A359,'Registros manuales'!$B$5:$B$104,B359,'Registros manuales'!$C$5:$C$104,C359)</f>
        <v>0</v>
      </c>
    </row>
    <row r="360" spans="1:12" x14ac:dyDescent="0.3">
      <c r="A360" s="16" t="s">
        <v>25</v>
      </c>
      <c r="B360" s="16" t="s">
        <v>12</v>
      </c>
      <c r="C360" s="31">
        <v>46255</v>
      </c>
      <c r="D360" s="17">
        <v>24169.65</v>
      </c>
      <c r="E360" s="17">
        <v>0</v>
      </c>
      <c r="F360" s="17">
        <v>11061.27</v>
      </c>
      <c r="G360" s="17">
        <v>0</v>
      </c>
      <c r="H360" s="17">
        <f t="shared" si="15"/>
        <v>13108.380000000001</v>
      </c>
      <c r="I360" s="17">
        <v>13168.19</v>
      </c>
      <c r="J360" s="17">
        <f t="shared" si="16"/>
        <v>59.809999999999491</v>
      </c>
      <c r="K360" s="23">
        <f t="shared" si="17"/>
        <v>5.4071548746210413E-3</v>
      </c>
      <c r="L360" s="17">
        <f>SUMIFS('Registros manuales'!$D$5:$D$104,'Registros manuales'!$A$5:$A$104,A360,'Registros manuales'!$B$5:$B$104,B360,'Registros manuales'!$C$5:$C$104,C360)</f>
        <v>0</v>
      </c>
    </row>
    <row r="361" spans="1:12" x14ac:dyDescent="0.3">
      <c r="A361" s="16" t="s">
        <v>25</v>
      </c>
      <c r="B361" s="16" t="s">
        <v>12</v>
      </c>
      <c r="C361" s="31">
        <v>46256</v>
      </c>
      <c r="D361" s="17">
        <v>13168.19</v>
      </c>
      <c r="E361" s="17">
        <v>29933</v>
      </c>
      <c r="F361" s="17">
        <v>6656.66</v>
      </c>
      <c r="G361" s="17">
        <v>0</v>
      </c>
      <c r="H361" s="17">
        <f t="shared" si="15"/>
        <v>36444.53</v>
      </c>
      <c r="I361" s="17">
        <v>36318.730000000003</v>
      </c>
      <c r="J361" s="17">
        <f t="shared" si="16"/>
        <v>-125.79999999999563</v>
      </c>
      <c r="K361" s="23">
        <f t="shared" si="17"/>
        <v>-1.889836644803785E-2</v>
      </c>
      <c r="L361" s="17">
        <f>SUMIFS('Registros manuales'!$D$5:$D$104,'Registros manuales'!$A$5:$A$104,A361,'Registros manuales'!$B$5:$B$104,B361,'Registros manuales'!$C$5:$C$104,C361)</f>
        <v>0</v>
      </c>
    </row>
    <row r="362" spans="1:12" x14ac:dyDescent="0.3">
      <c r="A362" s="16" t="s">
        <v>25</v>
      </c>
      <c r="B362" s="16" t="s">
        <v>12</v>
      </c>
      <c r="C362" s="31">
        <v>46257</v>
      </c>
      <c r="D362" s="17">
        <v>36318.730000000003</v>
      </c>
      <c r="E362" s="17">
        <v>0</v>
      </c>
      <c r="F362" s="17">
        <v>10895.13</v>
      </c>
      <c r="G362" s="17">
        <v>0</v>
      </c>
      <c r="H362" s="17">
        <f t="shared" si="15"/>
        <v>25423.600000000006</v>
      </c>
      <c r="I362" s="17">
        <v>25419.69</v>
      </c>
      <c r="J362" s="17">
        <f t="shared" si="16"/>
        <v>-3.9100000000071304</v>
      </c>
      <c r="K362" s="23">
        <f t="shared" si="17"/>
        <v>-3.5887593814916673E-4</v>
      </c>
      <c r="L362" s="17">
        <f>SUMIFS('Registros manuales'!$D$5:$D$104,'Registros manuales'!$A$5:$A$104,A362,'Registros manuales'!$B$5:$B$104,B362,'Registros manuales'!$C$5:$C$104,C362)</f>
        <v>0</v>
      </c>
    </row>
    <row r="363" spans="1:12" x14ac:dyDescent="0.3">
      <c r="A363" s="16" t="s">
        <v>25</v>
      </c>
      <c r="B363" s="16" t="s">
        <v>12</v>
      </c>
      <c r="C363" s="31">
        <v>46258</v>
      </c>
      <c r="D363" s="17">
        <v>25419.69</v>
      </c>
      <c r="E363" s="17">
        <v>0</v>
      </c>
      <c r="F363" s="17">
        <v>12381.5</v>
      </c>
      <c r="G363" s="17">
        <v>0</v>
      </c>
      <c r="H363" s="17">
        <f t="shared" si="15"/>
        <v>13038.189999999999</v>
      </c>
      <c r="I363" s="17">
        <v>13072.12</v>
      </c>
      <c r="J363" s="17">
        <f t="shared" si="16"/>
        <v>33.93000000000211</v>
      </c>
      <c r="K363" s="23">
        <f t="shared" si="17"/>
        <v>2.7403787909382636E-3</v>
      </c>
      <c r="L363" s="17">
        <f>SUMIFS('Registros manuales'!$D$5:$D$104,'Registros manuales'!$A$5:$A$104,A363,'Registros manuales'!$B$5:$B$104,B363,'Registros manuales'!$C$5:$C$104,C363)</f>
        <v>0</v>
      </c>
    </row>
    <row r="364" spans="1:12" x14ac:dyDescent="0.3">
      <c r="A364" s="16" t="s">
        <v>25</v>
      </c>
      <c r="B364" s="16" t="s">
        <v>12</v>
      </c>
      <c r="C364" s="31">
        <v>46259</v>
      </c>
      <c r="D364" s="17">
        <v>13072.12</v>
      </c>
      <c r="E364" s="17">
        <v>29927</v>
      </c>
      <c r="F364" s="17">
        <v>10653.44</v>
      </c>
      <c r="G364" s="17">
        <v>0</v>
      </c>
      <c r="H364" s="17">
        <f t="shared" si="15"/>
        <v>32345.68</v>
      </c>
      <c r="I364" s="17">
        <v>32315.66</v>
      </c>
      <c r="J364" s="17">
        <f t="shared" si="16"/>
        <v>-30.020000000000437</v>
      </c>
      <c r="K364" s="23">
        <f t="shared" si="17"/>
        <v>-2.8178691577556577E-3</v>
      </c>
      <c r="L364" s="17">
        <f>SUMIFS('Registros manuales'!$D$5:$D$104,'Registros manuales'!$A$5:$A$104,A364,'Registros manuales'!$B$5:$B$104,B364,'Registros manuales'!$C$5:$C$104,C364)</f>
        <v>0</v>
      </c>
    </row>
    <row r="365" spans="1:12" x14ac:dyDescent="0.3">
      <c r="A365" s="16" t="s">
        <v>25</v>
      </c>
      <c r="B365" s="16" t="s">
        <v>12</v>
      </c>
      <c r="C365" s="31">
        <v>46260</v>
      </c>
      <c r="D365" s="17">
        <v>32315.66</v>
      </c>
      <c r="E365" s="17">
        <v>0</v>
      </c>
      <c r="F365" s="17">
        <v>12016.76</v>
      </c>
      <c r="G365" s="17">
        <v>0</v>
      </c>
      <c r="H365" s="17">
        <f t="shared" si="15"/>
        <v>20298.900000000001</v>
      </c>
      <c r="I365" s="17">
        <v>20292.490000000002</v>
      </c>
      <c r="J365" s="17">
        <f t="shared" si="16"/>
        <v>-6.4099999999998545</v>
      </c>
      <c r="K365" s="23">
        <f t="shared" si="17"/>
        <v>-5.3342165442264429E-4</v>
      </c>
      <c r="L365" s="17">
        <f>SUMIFS('Registros manuales'!$D$5:$D$104,'Registros manuales'!$A$5:$A$104,A365,'Registros manuales'!$B$5:$B$104,B365,'Registros manuales'!$C$5:$C$104,C365)</f>
        <v>0</v>
      </c>
    </row>
    <row r="366" spans="1:12" x14ac:dyDescent="0.3">
      <c r="A366" s="16" t="s">
        <v>25</v>
      </c>
      <c r="B366" s="16" t="s">
        <v>12</v>
      </c>
      <c r="C366" s="31">
        <v>46261</v>
      </c>
      <c r="D366" s="17">
        <v>20292.490000000002</v>
      </c>
      <c r="E366" s="17">
        <v>29973</v>
      </c>
      <c r="F366" s="17">
        <v>7418.51</v>
      </c>
      <c r="G366" s="17">
        <v>0</v>
      </c>
      <c r="H366" s="17">
        <f t="shared" si="15"/>
        <v>42846.98</v>
      </c>
      <c r="I366" s="17">
        <v>42910.35</v>
      </c>
      <c r="J366" s="17">
        <f t="shared" si="16"/>
        <v>63.369999999995343</v>
      </c>
      <c r="K366" s="23">
        <f t="shared" si="17"/>
        <v>8.5421466035626205E-3</v>
      </c>
      <c r="L366" s="17">
        <f>SUMIFS('Registros manuales'!$D$5:$D$104,'Registros manuales'!$A$5:$A$104,A366,'Registros manuales'!$B$5:$B$104,B366,'Registros manuales'!$C$5:$C$104,C366)</f>
        <v>0</v>
      </c>
    </row>
    <row r="367" spans="1:12" x14ac:dyDescent="0.3">
      <c r="A367" s="16" t="s">
        <v>25</v>
      </c>
      <c r="B367" s="16" t="s">
        <v>12</v>
      </c>
      <c r="C367" s="31">
        <v>46262</v>
      </c>
      <c r="D367" s="17">
        <v>42910.35</v>
      </c>
      <c r="E367" s="17">
        <v>0</v>
      </c>
      <c r="F367" s="17">
        <v>10911.74</v>
      </c>
      <c r="G367" s="17">
        <v>0</v>
      </c>
      <c r="H367" s="17">
        <f t="shared" si="15"/>
        <v>31998.61</v>
      </c>
      <c r="I367" s="17">
        <v>31954.65</v>
      </c>
      <c r="J367" s="17">
        <f t="shared" si="16"/>
        <v>-43.959999999999127</v>
      </c>
      <c r="K367" s="23">
        <f t="shared" si="17"/>
        <v>-4.028688366841505E-3</v>
      </c>
      <c r="L367" s="17">
        <f>SUMIFS('Registros manuales'!$D$5:$D$104,'Registros manuales'!$A$5:$A$104,A367,'Registros manuales'!$B$5:$B$104,B367,'Registros manuales'!$C$5:$C$104,C367)</f>
        <v>0</v>
      </c>
    </row>
    <row r="368" spans="1:12" x14ac:dyDescent="0.3">
      <c r="A368" s="16" t="s">
        <v>25</v>
      </c>
      <c r="B368" s="16" t="s">
        <v>12</v>
      </c>
      <c r="C368" s="31">
        <v>46263</v>
      </c>
      <c r="D368" s="17">
        <v>31954.65</v>
      </c>
      <c r="E368" s="17">
        <v>0</v>
      </c>
      <c r="F368" s="17">
        <v>13465.84</v>
      </c>
      <c r="G368" s="17">
        <v>0</v>
      </c>
      <c r="H368" s="17">
        <f t="shared" si="15"/>
        <v>18488.810000000001</v>
      </c>
      <c r="I368" s="17">
        <v>18491.09</v>
      </c>
      <c r="J368" s="17">
        <f t="shared" si="16"/>
        <v>2.2799999999988358</v>
      </c>
      <c r="K368" s="23">
        <f t="shared" si="17"/>
        <v>1.6931732442973003E-4</v>
      </c>
      <c r="L368" s="17">
        <f>SUMIFS('Registros manuales'!$D$5:$D$104,'Registros manuales'!$A$5:$A$104,A368,'Registros manuales'!$B$5:$B$104,B368,'Registros manuales'!$C$5:$C$104,C368)</f>
        <v>0</v>
      </c>
    </row>
    <row r="369" spans="1:12" x14ac:dyDescent="0.3">
      <c r="A369" s="16" t="s">
        <v>25</v>
      </c>
      <c r="B369" s="16" t="s">
        <v>12</v>
      </c>
      <c r="C369" s="31">
        <v>46264</v>
      </c>
      <c r="D369" s="17">
        <v>18491.09</v>
      </c>
      <c r="E369" s="17">
        <v>0</v>
      </c>
      <c r="F369" s="17">
        <v>7286.44</v>
      </c>
      <c r="G369" s="17">
        <v>0</v>
      </c>
      <c r="H369" s="17">
        <f t="shared" si="15"/>
        <v>11204.650000000001</v>
      </c>
      <c r="I369" s="17">
        <v>11242.45</v>
      </c>
      <c r="J369" s="17">
        <f t="shared" si="16"/>
        <v>37.799999999999272</v>
      </c>
      <c r="K369" s="23">
        <f t="shared" si="17"/>
        <v>5.1877185566613152E-3</v>
      </c>
      <c r="L369" s="17">
        <f>SUMIFS('Registros manuales'!$D$5:$D$104,'Registros manuales'!$A$5:$A$104,A369,'Registros manuales'!$B$5:$B$104,B369,'Registros manuales'!$C$5:$C$104,C369)</f>
        <v>0</v>
      </c>
    </row>
    <row r="370" spans="1:12" x14ac:dyDescent="0.3">
      <c r="A370" s="16" t="s">
        <v>25</v>
      </c>
      <c r="B370" s="16" t="s">
        <v>12</v>
      </c>
      <c r="C370" s="31">
        <v>46265</v>
      </c>
      <c r="D370" s="17">
        <v>11242.45</v>
      </c>
      <c r="E370" s="17">
        <v>29943</v>
      </c>
      <c r="F370" s="17">
        <v>12798.7</v>
      </c>
      <c r="G370" s="17">
        <v>0</v>
      </c>
      <c r="H370" s="17">
        <f t="shared" si="15"/>
        <v>28386.749999999996</v>
      </c>
      <c r="I370" s="17">
        <v>28357.25</v>
      </c>
      <c r="J370" s="17">
        <f t="shared" si="16"/>
        <v>-29.499999999996362</v>
      </c>
      <c r="K370" s="23">
        <f t="shared" si="17"/>
        <v>-2.3049215935990654E-3</v>
      </c>
      <c r="L370" s="17">
        <f>SUMIFS('Registros manuales'!$D$5:$D$104,'Registros manuales'!$A$5:$A$104,A370,'Registros manuales'!$B$5:$B$104,B370,'Registros manuales'!$C$5:$C$104,C370)</f>
        <v>0</v>
      </c>
    </row>
    <row r="371" spans="1:12" x14ac:dyDescent="0.3">
      <c r="A371" s="16" t="s">
        <v>26</v>
      </c>
      <c r="B371" s="16" t="s">
        <v>10</v>
      </c>
      <c r="C371" s="31">
        <v>46237</v>
      </c>
      <c r="D371" s="17">
        <v>103989.15</v>
      </c>
      <c r="E371" s="17">
        <v>0</v>
      </c>
      <c r="F371" s="17">
        <v>7675.28</v>
      </c>
      <c r="G371" s="17">
        <v>0</v>
      </c>
      <c r="H371" s="17">
        <f t="shared" si="15"/>
        <v>96313.87</v>
      </c>
      <c r="I371" s="17">
        <v>96313.87</v>
      </c>
      <c r="J371" s="17">
        <f t="shared" si="16"/>
        <v>0</v>
      </c>
      <c r="K371" s="23">
        <f t="shared" si="17"/>
        <v>0</v>
      </c>
      <c r="L371" s="17">
        <f>SUMIFS('Registros manuales'!$D$5:$D$104,'Registros manuales'!$A$5:$A$104,A371,'Registros manuales'!$B$5:$B$104,B371,'Registros manuales'!$C$5:$C$104,C371)</f>
        <v>0</v>
      </c>
    </row>
    <row r="372" spans="1:12" x14ac:dyDescent="0.3">
      <c r="A372" s="16" t="s">
        <v>26</v>
      </c>
      <c r="B372" s="16" t="s">
        <v>10</v>
      </c>
      <c r="C372" s="31">
        <v>46238</v>
      </c>
      <c r="D372" s="17">
        <v>96313.87</v>
      </c>
      <c r="E372" s="17">
        <v>0</v>
      </c>
      <c r="F372" s="17">
        <v>10747.23</v>
      </c>
      <c r="G372" s="17">
        <v>0</v>
      </c>
      <c r="H372" s="17">
        <f t="shared" si="15"/>
        <v>85566.64</v>
      </c>
      <c r="I372" s="17">
        <v>85567.63</v>
      </c>
      <c r="J372" s="17">
        <f t="shared" si="16"/>
        <v>0.99000000000523869</v>
      </c>
      <c r="K372" s="23">
        <f t="shared" si="17"/>
        <v>9.2116759388720509E-5</v>
      </c>
      <c r="L372" s="17">
        <f>SUMIFS('Registros manuales'!$D$5:$D$104,'Registros manuales'!$A$5:$A$104,A372,'Registros manuales'!$B$5:$B$104,B372,'Registros manuales'!$C$5:$C$104,C372)</f>
        <v>0</v>
      </c>
    </row>
    <row r="373" spans="1:12" x14ac:dyDescent="0.3">
      <c r="A373" s="16" t="s">
        <v>26</v>
      </c>
      <c r="B373" s="16" t="s">
        <v>10</v>
      </c>
      <c r="C373" s="31">
        <v>46239</v>
      </c>
      <c r="D373" s="17">
        <v>85567.63</v>
      </c>
      <c r="E373" s="17">
        <v>29765</v>
      </c>
      <c r="F373" s="17">
        <v>10437.799999999999</v>
      </c>
      <c r="G373" s="17">
        <v>0</v>
      </c>
      <c r="H373" s="17">
        <f t="shared" si="15"/>
        <v>104894.83</v>
      </c>
      <c r="I373" s="17">
        <v>104614.7</v>
      </c>
      <c r="J373" s="17">
        <f t="shared" si="16"/>
        <v>-280.13000000000466</v>
      </c>
      <c r="K373" s="23">
        <f t="shared" si="17"/>
        <v>-2.6838031002702167E-2</v>
      </c>
      <c r="L373" s="17">
        <f>SUMIFS('Registros manuales'!$D$5:$D$104,'Registros manuales'!$A$5:$A$104,A373,'Registros manuales'!$B$5:$B$104,B373,'Registros manuales'!$C$5:$C$104,C373)</f>
        <v>0</v>
      </c>
    </row>
    <row r="374" spans="1:12" x14ac:dyDescent="0.3">
      <c r="A374" s="16" t="s">
        <v>26</v>
      </c>
      <c r="B374" s="16" t="s">
        <v>10</v>
      </c>
      <c r="C374" s="31">
        <v>46240</v>
      </c>
      <c r="D374" s="17">
        <v>104614.7</v>
      </c>
      <c r="E374" s="17">
        <v>0</v>
      </c>
      <c r="F374" s="17">
        <v>11286.62</v>
      </c>
      <c r="G374" s="17">
        <v>0</v>
      </c>
      <c r="H374" s="17">
        <f t="shared" si="15"/>
        <v>93328.08</v>
      </c>
      <c r="I374" s="17">
        <v>93288.78</v>
      </c>
      <c r="J374" s="17">
        <f t="shared" si="16"/>
        <v>-39.30000000000291</v>
      </c>
      <c r="K374" s="23">
        <f t="shared" si="17"/>
        <v>-3.4819990395710061E-3</v>
      </c>
      <c r="L374" s="17">
        <f>SUMIFS('Registros manuales'!$D$5:$D$104,'Registros manuales'!$A$5:$A$104,A374,'Registros manuales'!$B$5:$B$104,B374,'Registros manuales'!$C$5:$C$104,C374)</f>
        <v>0</v>
      </c>
    </row>
    <row r="375" spans="1:12" x14ac:dyDescent="0.3">
      <c r="A375" s="16" t="s">
        <v>26</v>
      </c>
      <c r="B375" s="16" t="s">
        <v>10</v>
      </c>
      <c r="C375" s="31">
        <v>46241</v>
      </c>
      <c r="D375" s="17">
        <v>93288.78</v>
      </c>
      <c r="E375" s="17">
        <v>0</v>
      </c>
      <c r="F375" s="17">
        <v>11842.68</v>
      </c>
      <c r="G375" s="17">
        <v>0</v>
      </c>
      <c r="H375" s="17">
        <f t="shared" si="15"/>
        <v>81446.100000000006</v>
      </c>
      <c r="I375" s="17">
        <v>81512.78</v>
      </c>
      <c r="J375" s="17">
        <f t="shared" si="16"/>
        <v>66.679999999993015</v>
      </c>
      <c r="K375" s="23">
        <f t="shared" si="17"/>
        <v>5.630482289481183E-3</v>
      </c>
      <c r="L375" s="17">
        <f>SUMIFS('Registros manuales'!$D$5:$D$104,'Registros manuales'!$A$5:$A$104,A375,'Registros manuales'!$B$5:$B$104,B375,'Registros manuales'!$C$5:$C$104,C375)</f>
        <v>0</v>
      </c>
    </row>
    <row r="376" spans="1:12" x14ac:dyDescent="0.3">
      <c r="A376" s="16" t="s">
        <v>26</v>
      </c>
      <c r="B376" s="16" t="s">
        <v>10</v>
      </c>
      <c r="C376" s="31">
        <v>46242</v>
      </c>
      <c r="D376" s="17">
        <v>81512.78</v>
      </c>
      <c r="E376" s="17">
        <v>30047</v>
      </c>
      <c r="F376" s="17">
        <v>13756.47</v>
      </c>
      <c r="G376" s="17">
        <v>0</v>
      </c>
      <c r="H376" s="17">
        <f t="shared" si="15"/>
        <v>97803.31</v>
      </c>
      <c r="I376" s="17">
        <v>97198.47</v>
      </c>
      <c r="J376" s="17">
        <f t="shared" si="16"/>
        <v>-604.83999999999651</v>
      </c>
      <c r="K376" s="23">
        <f t="shared" si="17"/>
        <v>-4.3967674846817281E-2</v>
      </c>
      <c r="L376" s="17">
        <f>SUMIFS('Registros manuales'!$D$5:$D$104,'Registros manuales'!$A$5:$A$104,A376,'Registros manuales'!$B$5:$B$104,B376,'Registros manuales'!$C$5:$C$104,C376)</f>
        <v>0</v>
      </c>
    </row>
    <row r="377" spans="1:12" x14ac:dyDescent="0.3">
      <c r="A377" s="16" t="s">
        <v>26</v>
      </c>
      <c r="B377" s="16" t="s">
        <v>10</v>
      </c>
      <c r="C377" s="31">
        <v>46243</v>
      </c>
      <c r="D377" s="17">
        <v>97198.47</v>
      </c>
      <c r="E377" s="17">
        <v>0</v>
      </c>
      <c r="F377" s="17">
        <v>12503.32</v>
      </c>
      <c r="G377" s="17">
        <v>0</v>
      </c>
      <c r="H377" s="17">
        <f t="shared" si="15"/>
        <v>84695.15</v>
      </c>
      <c r="I377" s="17">
        <v>84692.800000000003</v>
      </c>
      <c r="J377" s="17">
        <f t="shared" si="16"/>
        <v>-2.3499999999912689</v>
      </c>
      <c r="K377" s="23">
        <f t="shared" si="17"/>
        <v>-1.8795008045793189E-4</v>
      </c>
      <c r="L377" s="17">
        <f>SUMIFS('Registros manuales'!$D$5:$D$104,'Registros manuales'!$A$5:$A$104,A377,'Registros manuales'!$B$5:$B$104,B377,'Registros manuales'!$C$5:$C$104,C377)</f>
        <v>0</v>
      </c>
    </row>
    <row r="378" spans="1:12" x14ac:dyDescent="0.3">
      <c r="A378" s="16" t="s">
        <v>26</v>
      </c>
      <c r="B378" s="16" t="s">
        <v>10</v>
      </c>
      <c r="C378" s="31">
        <v>46244</v>
      </c>
      <c r="D378" s="17">
        <v>84692.800000000003</v>
      </c>
      <c r="E378" s="17">
        <v>10056</v>
      </c>
      <c r="F378" s="17">
        <v>12183.91</v>
      </c>
      <c r="G378" s="17">
        <v>0</v>
      </c>
      <c r="H378" s="17">
        <f t="shared" si="15"/>
        <v>82564.89</v>
      </c>
      <c r="I378" s="17">
        <v>82391.59</v>
      </c>
      <c r="J378" s="17">
        <f t="shared" si="16"/>
        <v>-173.30000000000291</v>
      </c>
      <c r="K378" s="23">
        <f t="shared" si="17"/>
        <v>-1.4223676964127518E-2</v>
      </c>
      <c r="L378" s="17">
        <f>SUMIFS('Registros manuales'!$D$5:$D$104,'Registros manuales'!$A$5:$A$104,A378,'Registros manuales'!$B$5:$B$104,B378,'Registros manuales'!$C$5:$C$104,C378)</f>
        <v>0</v>
      </c>
    </row>
    <row r="379" spans="1:12" x14ac:dyDescent="0.3">
      <c r="A379" s="16" t="s">
        <v>26</v>
      </c>
      <c r="B379" s="16" t="s">
        <v>10</v>
      </c>
      <c r="C379" s="31">
        <v>46245</v>
      </c>
      <c r="D379" s="17">
        <v>82391.59</v>
      </c>
      <c r="E379" s="17">
        <v>0</v>
      </c>
      <c r="F379" s="17">
        <v>10062.209999999999</v>
      </c>
      <c r="G379" s="17">
        <v>0</v>
      </c>
      <c r="H379" s="17">
        <f t="shared" si="15"/>
        <v>72329.38</v>
      </c>
      <c r="I379" s="17">
        <v>72274.77</v>
      </c>
      <c r="J379" s="17">
        <f t="shared" si="16"/>
        <v>-54.610000000000582</v>
      </c>
      <c r="K379" s="23">
        <f t="shared" si="17"/>
        <v>-5.4272371576423659E-3</v>
      </c>
      <c r="L379" s="17">
        <f>SUMIFS('Registros manuales'!$D$5:$D$104,'Registros manuales'!$A$5:$A$104,A379,'Registros manuales'!$B$5:$B$104,B379,'Registros manuales'!$C$5:$C$104,C379)</f>
        <v>0</v>
      </c>
    </row>
    <row r="380" spans="1:12" x14ac:dyDescent="0.3">
      <c r="A380" s="16" t="s">
        <v>26</v>
      </c>
      <c r="B380" s="16" t="s">
        <v>10</v>
      </c>
      <c r="C380" s="31">
        <v>46246</v>
      </c>
      <c r="D380" s="17">
        <v>72274.77</v>
      </c>
      <c r="E380" s="17">
        <v>29987</v>
      </c>
      <c r="F380" s="17">
        <v>9974.15</v>
      </c>
      <c r="G380" s="17">
        <v>0</v>
      </c>
      <c r="H380" s="17">
        <f t="shared" si="15"/>
        <v>92287.62000000001</v>
      </c>
      <c r="I380" s="17">
        <v>92450.44</v>
      </c>
      <c r="J380" s="17">
        <f t="shared" si="16"/>
        <v>162.81999999999243</v>
      </c>
      <c r="K380" s="23">
        <f t="shared" si="17"/>
        <v>1.632419805196357E-2</v>
      </c>
      <c r="L380" s="17">
        <f>SUMIFS('Registros manuales'!$D$5:$D$104,'Registros manuales'!$A$5:$A$104,A380,'Registros manuales'!$B$5:$B$104,B380,'Registros manuales'!$C$5:$C$104,C380)</f>
        <v>0</v>
      </c>
    </row>
    <row r="381" spans="1:12" x14ac:dyDescent="0.3">
      <c r="A381" s="16" t="s">
        <v>26</v>
      </c>
      <c r="B381" s="16" t="s">
        <v>10</v>
      </c>
      <c r="C381" s="31">
        <v>46247</v>
      </c>
      <c r="D381" s="17">
        <v>92450.44</v>
      </c>
      <c r="E381" s="17">
        <v>0</v>
      </c>
      <c r="F381" s="17">
        <v>9973.66</v>
      </c>
      <c r="G381" s="17">
        <v>0</v>
      </c>
      <c r="H381" s="17">
        <f t="shared" si="15"/>
        <v>82476.78</v>
      </c>
      <c r="I381" s="17">
        <v>82468.11</v>
      </c>
      <c r="J381" s="17">
        <f t="shared" si="16"/>
        <v>-8.6699999999982538</v>
      </c>
      <c r="K381" s="23">
        <f t="shared" si="17"/>
        <v>-8.6928970909357789E-4</v>
      </c>
      <c r="L381" s="17">
        <f>SUMIFS('Registros manuales'!$D$5:$D$104,'Registros manuales'!$A$5:$A$104,A381,'Registros manuales'!$B$5:$B$104,B381,'Registros manuales'!$C$5:$C$104,C381)</f>
        <v>0</v>
      </c>
    </row>
    <row r="382" spans="1:12" x14ac:dyDescent="0.3">
      <c r="A382" s="16" t="s">
        <v>26</v>
      </c>
      <c r="B382" s="16" t="s">
        <v>10</v>
      </c>
      <c r="C382" s="31">
        <v>46248</v>
      </c>
      <c r="D382" s="17">
        <v>82468.11</v>
      </c>
      <c r="E382" s="17">
        <v>0</v>
      </c>
      <c r="F382" s="17">
        <v>11841.71</v>
      </c>
      <c r="G382" s="17">
        <v>0</v>
      </c>
      <c r="H382" s="17">
        <f t="shared" si="15"/>
        <v>70626.399999999994</v>
      </c>
      <c r="I382" s="17">
        <v>70549.48</v>
      </c>
      <c r="J382" s="17">
        <f t="shared" si="16"/>
        <v>-76.919999999998254</v>
      </c>
      <c r="K382" s="23">
        <f t="shared" si="17"/>
        <v>-6.495683478146168E-3</v>
      </c>
      <c r="L382" s="17">
        <f>SUMIFS('Registros manuales'!$D$5:$D$104,'Registros manuales'!$A$5:$A$104,A382,'Registros manuales'!$B$5:$B$104,B382,'Registros manuales'!$C$5:$C$104,C382)</f>
        <v>0</v>
      </c>
    </row>
    <row r="383" spans="1:12" x14ac:dyDescent="0.3">
      <c r="A383" s="16" t="s">
        <v>26</v>
      </c>
      <c r="B383" s="16" t="s">
        <v>10</v>
      </c>
      <c r="C383" s="31">
        <v>46249</v>
      </c>
      <c r="D383" s="17">
        <v>70549.48</v>
      </c>
      <c r="E383" s="17">
        <v>30007</v>
      </c>
      <c r="F383" s="17">
        <v>14021.98</v>
      </c>
      <c r="G383" s="17">
        <v>0</v>
      </c>
      <c r="H383" s="17">
        <f t="shared" si="15"/>
        <v>86534.5</v>
      </c>
      <c r="I383" s="17">
        <v>86173.119999999995</v>
      </c>
      <c r="J383" s="17">
        <f t="shared" si="16"/>
        <v>-361.38000000000466</v>
      </c>
      <c r="K383" s="23">
        <f t="shared" si="17"/>
        <v>-2.5772394483518351E-2</v>
      </c>
      <c r="L383" s="17">
        <f>SUMIFS('Registros manuales'!$D$5:$D$104,'Registros manuales'!$A$5:$A$104,A383,'Registros manuales'!$B$5:$B$104,B383,'Registros manuales'!$C$5:$C$104,C383)</f>
        <v>0</v>
      </c>
    </row>
    <row r="384" spans="1:12" x14ac:dyDescent="0.3">
      <c r="A384" s="16" t="s">
        <v>26</v>
      </c>
      <c r="B384" s="16" t="s">
        <v>10</v>
      </c>
      <c r="C384" s="31">
        <v>46250</v>
      </c>
      <c r="D384" s="17">
        <v>86173.119999999995</v>
      </c>
      <c r="E384" s="17">
        <v>0</v>
      </c>
      <c r="F384" s="17">
        <v>12583.4</v>
      </c>
      <c r="G384" s="17">
        <v>0</v>
      </c>
      <c r="H384" s="17">
        <f t="shared" si="15"/>
        <v>73589.72</v>
      </c>
      <c r="I384" s="17">
        <v>73651.05</v>
      </c>
      <c r="J384" s="17">
        <f t="shared" si="16"/>
        <v>61.330000000001746</v>
      </c>
      <c r="K384" s="23">
        <f t="shared" si="17"/>
        <v>4.8738814628798057E-3</v>
      </c>
      <c r="L384" s="17">
        <f>SUMIFS('Registros manuales'!$D$5:$D$104,'Registros manuales'!$A$5:$A$104,A384,'Registros manuales'!$B$5:$B$104,B384,'Registros manuales'!$C$5:$C$104,C384)</f>
        <v>0</v>
      </c>
    </row>
    <row r="385" spans="1:12" x14ac:dyDescent="0.3">
      <c r="A385" s="16" t="s">
        <v>26</v>
      </c>
      <c r="B385" s="16" t="s">
        <v>10</v>
      </c>
      <c r="C385" s="31">
        <v>46251</v>
      </c>
      <c r="D385" s="17">
        <v>73651.05</v>
      </c>
      <c r="E385" s="17">
        <v>0</v>
      </c>
      <c r="F385" s="17">
        <v>11916.74</v>
      </c>
      <c r="G385" s="17">
        <v>0</v>
      </c>
      <c r="H385" s="17">
        <f t="shared" si="15"/>
        <v>61734.310000000005</v>
      </c>
      <c r="I385" s="17">
        <v>61803.17</v>
      </c>
      <c r="J385" s="17">
        <f t="shared" si="16"/>
        <v>68.859999999993306</v>
      </c>
      <c r="K385" s="23">
        <f t="shared" si="17"/>
        <v>5.7784259789164915E-3</v>
      </c>
      <c r="L385" s="17">
        <f>SUMIFS('Registros manuales'!$D$5:$D$104,'Registros manuales'!$A$5:$A$104,A385,'Registros manuales'!$B$5:$B$104,B385,'Registros manuales'!$C$5:$C$104,C385)</f>
        <v>0</v>
      </c>
    </row>
    <row r="386" spans="1:12" x14ac:dyDescent="0.3">
      <c r="A386" s="16" t="s">
        <v>26</v>
      </c>
      <c r="B386" s="16" t="s">
        <v>10</v>
      </c>
      <c r="C386" s="31">
        <v>46252</v>
      </c>
      <c r="D386" s="17">
        <v>61803.17</v>
      </c>
      <c r="E386" s="17">
        <v>0</v>
      </c>
      <c r="F386" s="17">
        <v>10775</v>
      </c>
      <c r="G386" s="17">
        <v>0</v>
      </c>
      <c r="H386" s="17">
        <f t="shared" si="15"/>
        <v>51028.17</v>
      </c>
      <c r="I386" s="17">
        <v>50947.41</v>
      </c>
      <c r="J386" s="17">
        <f t="shared" si="16"/>
        <v>-80.759999999994761</v>
      </c>
      <c r="K386" s="23">
        <f t="shared" si="17"/>
        <v>-7.4951276102083308E-3</v>
      </c>
      <c r="L386" s="17">
        <f>SUMIFS('Registros manuales'!$D$5:$D$104,'Registros manuales'!$A$5:$A$104,A386,'Registros manuales'!$B$5:$B$104,B386,'Registros manuales'!$C$5:$C$104,C386)</f>
        <v>0</v>
      </c>
    </row>
    <row r="387" spans="1:12" x14ac:dyDescent="0.3">
      <c r="A387" s="16" t="s">
        <v>26</v>
      </c>
      <c r="B387" s="16" t="s">
        <v>10</v>
      </c>
      <c r="C387" s="31">
        <v>46253</v>
      </c>
      <c r="D387" s="17">
        <v>50947.41</v>
      </c>
      <c r="E387" s="17">
        <v>29952</v>
      </c>
      <c r="F387" s="17">
        <v>11046.73</v>
      </c>
      <c r="G387" s="17">
        <v>0</v>
      </c>
      <c r="H387" s="17">
        <f t="shared" si="15"/>
        <v>69852.680000000008</v>
      </c>
      <c r="I387" s="17">
        <v>69690.61</v>
      </c>
      <c r="J387" s="17">
        <f t="shared" si="16"/>
        <v>-162.07000000000698</v>
      </c>
      <c r="K387" s="23">
        <f t="shared" si="17"/>
        <v>-1.4671309971367725E-2</v>
      </c>
      <c r="L387" s="17">
        <f>SUMIFS('Registros manuales'!$D$5:$D$104,'Registros manuales'!$A$5:$A$104,A387,'Registros manuales'!$B$5:$B$104,B387,'Registros manuales'!$C$5:$C$104,C387)</f>
        <v>0</v>
      </c>
    </row>
    <row r="388" spans="1:12" x14ac:dyDescent="0.3">
      <c r="A388" s="16" t="s">
        <v>26</v>
      </c>
      <c r="B388" s="16" t="s">
        <v>10</v>
      </c>
      <c r="C388" s="31">
        <v>46254</v>
      </c>
      <c r="D388" s="17">
        <v>69690.61</v>
      </c>
      <c r="E388" s="17">
        <v>0</v>
      </c>
      <c r="F388" s="17">
        <v>10678.76</v>
      </c>
      <c r="G388" s="17">
        <v>0</v>
      </c>
      <c r="H388" s="17">
        <f t="shared" si="15"/>
        <v>59011.85</v>
      </c>
      <c r="I388" s="17">
        <v>59147.839999999997</v>
      </c>
      <c r="J388" s="17">
        <f t="shared" si="16"/>
        <v>135.98999999999796</v>
      </c>
      <c r="K388" s="23">
        <f t="shared" si="17"/>
        <v>1.2734624619337635E-2</v>
      </c>
      <c r="L388" s="17">
        <f>SUMIFS('Registros manuales'!$D$5:$D$104,'Registros manuales'!$A$5:$A$104,A388,'Registros manuales'!$B$5:$B$104,B388,'Registros manuales'!$C$5:$C$104,C388)</f>
        <v>0</v>
      </c>
    </row>
    <row r="389" spans="1:12" x14ac:dyDescent="0.3">
      <c r="A389" s="16" t="s">
        <v>26</v>
      </c>
      <c r="B389" s="16" t="s">
        <v>10</v>
      </c>
      <c r="C389" s="31">
        <v>46255</v>
      </c>
      <c r="D389" s="17">
        <v>59147.839999999997</v>
      </c>
      <c r="E389" s="17">
        <v>29911</v>
      </c>
      <c r="F389" s="17">
        <v>13970.53</v>
      </c>
      <c r="G389" s="17">
        <v>0</v>
      </c>
      <c r="H389" s="17">
        <f t="shared" ref="H389:H452" si="18">D389+E389+L389-F389+G389</f>
        <v>75088.31</v>
      </c>
      <c r="I389" s="17">
        <v>74956.05</v>
      </c>
      <c r="J389" s="17">
        <f t="shared" ref="J389:J452" si="19">I389-H389</f>
        <v>-132.25999999999476</v>
      </c>
      <c r="K389" s="23">
        <f t="shared" ref="K389:K452" si="20">IF(F389=0,0,J389/F389)</f>
        <v>-9.4670710416852304E-3</v>
      </c>
      <c r="L389" s="17">
        <f>SUMIFS('Registros manuales'!$D$5:$D$104,'Registros manuales'!$A$5:$A$104,A389,'Registros manuales'!$B$5:$B$104,B389,'Registros manuales'!$C$5:$C$104,C389)</f>
        <v>0</v>
      </c>
    </row>
    <row r="390" spans="1:12" x14ac:dyDescent="0.3">
      <c r="A390" s="16" t="s">
        <v>26</v>
      </c>
      <c r="B390" s="16" t="s">
        <v>10</v>
      </c>
      <c r="C390" s="31">
        <v>46256</v>
      </c>
      <c r="D390" s="17">
        <v>74956.05</v>
      </c>
      <c r="E390" s="17">
        <v>29919</v>
      </c>
      <c r="F390" s="17">
        <v>13482.81</v>
      </c>
      <c r="G390" s="17">
        <v>0</v>
      </c>
      <c r="H390" s="17">
        <f t="shared" si="18"/>
        <v>91392.24</v>
      </c>
      <c r="I390" s="17">
        <v>91384.73</v>
      </c>
      <c r="J390" s="17">
        <f t="shared" si="19"/>
        <v>-7.5100000000093132</v>
      </c>
      <c r="K390" s="23">
        <f t="shared" si="20"/>
        <v>-5.5700555003069196E-4</v>
      </c>
      <c r="L390" s="17">
        <f>SUMIFS('Registros manuales'!$D$5:$D$104,'Registros manuales'!$A$5:$A$104,A390,'Registros manuales'!$B$5:$B$104,B390,'Registros manuales'!$C$5:$C$104,C390)</f>
        <v>0</v>
      </c>
    </row>
    <row r="391" spans="1:12" x14ac:dyDescent="0.3">
      <c r="A391" s="16" t="s">
        <v>26</v>
      </c>
      <c r="B391" s="16" t="s">
        <v>10</v>
      </c>
      <c r="C391" s="31">
        <v>46257</v>
      </c>
      <c r="D391" s="17">
        <v>91384.73</v>
      </c>
      <c r="E391" s="17">
        <v>0</v>
      </c>
      <c r="F391" s="17">
        <v>11729.12</v>
      </c>
      <c r="G391" s="17">
        <v>0</v>
      </c>
      <c r="H391" s="17">
        <f t="shared" si="18"/>
        <v>79655.61</v>
      </c>
      <c r="I391" s="17">
        <v>79688.97</v>
      </c>
      <c r="J391" s="17">
        <f t="shared" si="19"/>
        <v>33.360000000000582</v>
      </c>
      <c r="K391" s="23">
        <f t="shared" si="20"/>
        <v>2.8442031456750875E-3</v>
      </c>
      <c r="L391" s="17">
        <f>SUMIFS('Registros manuales'!$D$5:$D$104,'Registros manuales'!$A$5:$A$104,A391,'Registros manuales'!$B$5:$B$104,B391,'Registros manuales'!$C$5:$C$104,C391)</f>
        <v>0</v>
      </c>
    </row>
    <row r="392" spans="1:12" x14ac:dyDescent="0.3">
      <c r="A392" s="16" t="s">
        <v>26</v>
      </c>
      <c r="B392" s="16" t="s">
        <v>10</v>
      </c>
      <c r="C392" s="31">
        <v>46258</v>
      </c>
      <c r="D392" s="17">
        <v>79688.97</v>
      </c>
      <c r="E392" s="17">
        <v>0</v>
      </c>
      <c r="F392" s="17">
        <v>12884.64</v>
      </c>
      <c r="G392" s="17">
        <v>0</v>
      </c>
      <c r="H392" s="17">
        <f t="shared" si="18"/>
        <v>66804.33</v>
      </c>
      <c r="I392" s="17">
        <v>66801.09</v>
      </c>
      <c r="J392" s="17">
        <f t="shared" si="19"/>
        <v>-3.2400000000052387</v>
      </c>
      <c r="K392" s="23">
        <f t="shared" si="20"/>
        <v>-2.5146220616216198E-4</v>
      </c>
      <c r="L392" s="17">
        <f>SUMIFS('Registros manuales'!$D$5:$D$104,'Registros manuales'!$A$5:$A$104,A392,'Registros manuales'!$B$5:$B$104,B392,'Registros manuales'!$C$5:$C$104,C392)</f>
        <v>0</v>
      </c>
    </row>
    <row r="393" spans="1:12" x14ac:dyDescent="0.3">
      <c r="A393" s="16" t="s">
        <v>26</v>
      </c>
      <c r="B393" s="16" t="s">
        <v>10</v>
      </c>
      <c r="C393" s="31">
        <v>46259</v>
      </c>
      <c r="D393" s="17">
        <v>66801.09</v>
      </c>
      <c r="E393" s="17">
        <v>20080</v>
      </c>
      <c r="F393" s="17">
        <v>10759.84</v>
      </c>
      <c r="G393" s="17">
        <v>0</v>
      </c>
      <c r="H393" s="17">
        <f t="shared" si="18"/>
        <v>76121.25</v>
      </c>
      <c r="I393" s="17">
        <v>75662.31</v>
      </c>
      <c r="J393" s="17">
        <f t="shared" si="19"/>
        <v>-458.94000000000233</v>
      </c>
      <c r="K393" s="23">
        <f t="shared" si="20"/>
        <v>-4.2653050602983161E-2</v>
      </c>
      <c r="L393" s="17">
        <f>SUMIFS('Registros manuales'!$D$5:$D$104,'Registros manuales'!$A$5:$A$104,A393,'Registros manuales'!$B$5:$B$104,B393,'Registros manuales'!$C$5:$C$104,C393)</f>
        <v>0</v>
      </c>
    </row>
    <row r="394" spans="1:12" x14ac:dyDescent="0.3">
      <c r="A394" s="16" t="s">
        <v>26</v>
      </c>
      <c r="B394" s="16" t="s">
        <v>10</v>
      </c>
      <c r="C394" s="31">
        <v>46260</v>
      </c>
      <c r="D394" s="17">
        <v>75662.31</v>
      </c>
      <c r="E394" s="17">
        <v>29911</v>
      </c>
      <c r="F394" s="17">
        <v>10130.42</v>
      </c>
      <c r="G394" s="17">
        <v>0</v>
      </c>
      <c r="H394" s="17">
        <f t="shared" si="18"/>
        <v>95442.89</v>
      </c>
      <c r="I394" s="17">
        <v>95427.96</v>
      </c>
      <c r="J394" s="17">
        <f t="shared" si="19"/>
        <v>-14.929999999993015</v>
      </c>
      <c r="K394" s="23">
        <f t="shared" si="20"/>
        <v>-1.4737789746124064E-3</v>
      </c>
      <c r="L394" s="17">
        <f>SUMIFS('Registros manuales'!$D$5:$D$104,'Registros manuales'!$A$5:$A$104,A394,'Registros manuales'!$B$5:$B$104,B394,'Registros manuales'!$C$5:$C$104,C394)</f>
        <v>0</v>
      </c>
    </row>
    <row r="395" spans="1:12" x14ac:dyDescent="0.3">
      <c r="A395" s="16" t="s">
        <v>26</v>
      </c>
      <c r="B395" s="16" t="s">
        <v>10</v>
      </c>
      <c r="C395" s="31">
        <v>46261</v>
      </c>
      <c r="D395" s="17">
        <v>95427.96</v>
      </c>
      <c r="E395" s="17">
        <v>0</v>
      </c>
      <c r="F395" s="17">
        <v>11100.99</v>
      </c>
      <c r="G395" s="17">
        <v>0</v>
      </c>
      <c r="H395" s="17">
        <f t="shared" si="18"/>
        <v>84326.97</v>
      </c>
      <c r="I395" s="17">
        <v>84402.29</v>
      </c>
      <c r="J395" s="17">
        <f t="shared" si="19"/>
        <v>75.319999999992433</v>
      </c>
      <c r="K395" s="23">
        <f t="shared" si="20"/>
        <v>6.7849804386809131E-3</v>
      </c>
      <c r="L395" s="17">
        <f>SUMIFS('Registros manuales'!$D$5:$D$104,'Registros manuales'!$A$5:$A$104,A395,'Registros manuales'!$B$5:$B$104,B395,'Registros manuales'!$C$5:$C$104,C395)</f>
        <v>0</v>
      </c>
    </row>
    <row r="396" spans="1:12" x14ac:dyDescent="0.3">
      <c r="A396" s="16" t="s">
        <v>26</v>
      </c>
      <c r="B396" s="16" t="s">
        <v>10</v>
      </c>
      <c r="C396" s="31">
        <v>46262</v>
      </c>
      <c r="D396" s="17">
        <v>84402.29</v>
      </c>
      <c r="E396" s="17">
        <v>0</v>
      </c>
      <c r="F396" s="17">
        <v>12052.62</v>
      </c>
      <c r="G396" s="17">
        <v>0</v>
      </c>
      <c r="H396" s="17">
        <f t="shared" si="18"/>
        <v>72349.67</v>
      </c>
      <c r="I396" s="17">
        <v>72330.5</v>
      </c>
      <c r="J396" s="17">
        <f t="shared" si="19"/>
        <v>-19.169999999998254</v>
      </c>
      <c r="K396" s="23">
        <f t="shared" si="20"/>
        <v>-1.5905255454829118E-3</v>
      </c>
      <c r="L396" s="17">
        <f>SUMIFS('Registros manuales'!$D$5:$D$104,'Registros manuales'!$A$5:$A$104,A396,'Registros manuales'!$B$5:$B$104,B396,'Registros manuales'!$C$5:$C$104,C396)</f>
        <v>0</v>
      </c>
    </row>
    <row r="397" spans="1:12" x14ac:dyDescent="0.3">
      <c r="A397" s="16" t="s">
        <v>26</v>
      </c>
      <c r="B397" s="16" t="s">
        <v>10</v>
      </c>
      <c r="C397" s="31">
        <v>46263</v>
      </c>
      <c r="D397" s="17">
        <v>72330.5</v>
      </c>
      <c r="E397" s="17">
        <v>30070</v>
      </c>
      <c r="F397" s="17">
        <v>13753.41</v>
      </c>
      <c r="G397" s="17">
        <v>0</v>
      </c>
      <c r="H397" s="17">
        <f t="shared" si="18"/>
        <v>88647.09</v>
      </c>
      <c r="I397" s="17">
        <v>88471.46</v>
      </c>
      <c r="J397" s="17">
        <f t="shared" si="19"/>
        <v>-175.6299999999901</v>
      </c>
      <c r="K397" s="23">
        <f t="shared" si="20"/>
        <v>-1.2769923967946139E-2</v>
      </c>
      <c r="L397" s="17">
        <f>SUMIFS('Registros manuales'!$D$5:$D$104,'Registros manuales'!$A$5:$A$104,A397,'Registros manuales'!$B$5:$B$104,B397,'Registros manuales'!$C$5:$C$104,C397)</f>
        <v>0</v>
      </c>
    </row>
    <row r="398" spans="1:12" x14ac:dyDescent="0.3">
      <c r="A398" s="16" t="s">
        <v>26</v>
      </c>
      <c r="B398" s="16" t="s">
        <v>10</v>
      </c>
      <c r="C398" s="31">
        <v>46264</v>
      </c>
      <c r="D398" s="17">
        <v>88471.46</v>
      </c>
      <c r="E398" s="17">
        <v>0</v>
      </c>
      <c r="F398" s="17">
        <v>12817.94</v>
      </c>
      <c r="G398" s="17">
        <v>0</v>
      </c>
      <c r="H398" s="17">
        <f t="shared" si="18"/>
        <v>75653.52</v>
      </c>
      <c r="I398" s="17">
        <v>75716.320000000007</v>
      </c>
      <c r="J398" s="17">
        <f t="shared" si="19"/>
        <v>62.80000000000291</v>
      </c>
      <c r="K398" s="23">
        <f t="shared" si="20"/>
        <v>4.8993832082224525E-3</v>
      </c>
      <c r="L398" s="17">
        <f>SUMIFS('Registros manuales'!$D$5:$D$104,'Registros manuales'!$A$5:$A$104,A398,'Registros manuales'!$B$5:$B$104,B398,'Registros manuales'!$C$5:$C$104,C398)</f>
        <v>0</v>
      </c>
    </row>
    <row r="399" spans="1:12" x14ac:dyDescent="0.3">
      <c r="A399" s="16" t="s">
        <v>26</v>
      </c>
      <c r="B399" s="16" t="s">
        <v>10</v>
      </c>
      <c r="C399" s="31">
        <v>46265</v>
      </c>
      <c r="D399" s="17">
        <v>75716.320000000007</v>
      </c>
      <c r="E399" s="17">
        <v>0</v>
      </c>
      <c r="F399" s="17">
        <v>13472.24</v>
      </c>
      <c r="G399" s="17">
        <v>0</v>
      </c>
      <c r="H399" s="17">
        <f t="shared" si="18"/>
        <v>62244.080000000009</v>
      </c>
      <c r="I399" s="17">
        <v>62188.01</v>
      </c>
      <c r="J399" s="17">
        <f t="shared" si="19"/>
        <v>-56.070000000006985</v>
      </c>
      <c r="K399" s="23">
        <f t="shared" si="20"/>
        <v>-4.1618914152365891E-3</v>
      </c>
      <c r="L399" s="17">
        <f>SUMIFS('Registros manuales'!$D$5:$D$104,'Registros manuales'!$A$5:$A$104,A399,'Registros manuales'!$B$5:$B$104,B399,'Registros manuales'!$C$5:$C$104,C399)</f>
        <v>0</v>
      </c>
    </row>
    <row r="400" spans="1:12" x14ac:dyDescent="0.3">
      <c r="A400" s="16" t="s">
        <v>26</v>
      </c>
      <c r="B400" s="16" t="s">
        <v>11</v>
      </c>
      <c r="C400" s="31">
        <v>46237</v>
      </c>
      <c r="D400" s="17">
        <v>18774.07</v>
      </c>
      <c r="E400" s="17">
        <v>0</v>
      </c>
      <c r="F400" s="17">
        <v>756.09</v>
      </c>
      <c r="G400" s="17">
        <v>0</v>
      </c>
      <c r="H400" s="17">
        <f t="shared" si="18"/>
        <v>18017.98</v>
      </c>
      <c r="I400" s="17">
        <v>18017.98</v>
      </c>
      <c r="J400" s="17">
        <f t="shared" si="19"/>
        <v>0</v>
      </c>
      <c r="K400" s="23">
        <f t="shared" si="20"/>
        <v>0</v>
      </c>
      <c r="L400" s="17">
        <f>SUMIFS('Registros manuales'!$D$5:$D$104,'Registros manuales'!$A$5:$A$104,A400,'Registros manuales'!$B$5:$B$104,B400,'Registros manuales'!$C$5:$C$104,C400)</f>
        <v>0</v>
      </c>
    </row>
    <row r="401" spans="1:12" x14ac:dyDescent="0.3">
      <c r="A401" s="16" t="s">
        <v>26</v>
      </c>
      <c r="B401" s="16" t="s">
        <v>11</v>
      </c>
      <c r="C401" s="31">
        <v>46238</v>
      </c>
      <c r="D401" s="17">
        <v>18017.98</v>
      </c>
      <c r="E401" s="17">
        <v>0</v>
      </c>
      <c r="F401" s="17">
        <v>1324.55</v>
      </c>
      <c r="G401" s="17">
        <v>0</v>
      </c>
      <c r="H401" s="17">
        <f t="shared" si="18"/>
        <v>16693.43</v>
      </c>
      <c r="I401" s="17">
        <v>16695.79</v>
      </c>
      <c r="J401" s="17">
        <f t="shared" si="19"/>
        <v>2.3600000000005821</v>
      </c>
      <c r="K401" s="23">
        <f t="shared" si="20"/>
        <v>1.7817371937643594E-3</v>
      </c>
      <c r="L401" s="17">
        <f>SUMIFS('Registros manuales'!$D$5:$D$104,'Registros manuales'!$A$5:$A$104,A401,'Registros manuales'!$B$5:$B$104,B401,'Registros manuales'!$C$5:$C$104,C401)</f>
        <v>0</v>
      </c>
    </row>
    <row r="402" spans="1:12" x14ac:dyDescent="0.3">
      <c r="A402" s="16" t="s">
        <v>26</v>
      </c>
      <c r="B402" s="16" t="s">
        <v>11</v>
      </c>
      <c r="C402" s="31">
        <v>46239</v>
      </c>
      <c r="D402" s="17">
        <v>16695.79</v>
      </c>
      <c r="E402" s="17">
        <v>0</v>
      </c>
      <c r="F402" s="17">
        <v>1684.18</v>
      </c>
      <c r="G402" s="17">
        <v>0</v>
      </c>
      <c r="H402" s="17">
        <f t="shared" si="18"/>
        <v>15011.61</v>
      </c>
      <c r="I402" s="17">
        <v>15018.05</v>
      </c>
      <c r="J402" s="17">
        <f t="shared" si="19"/>
        <v>6.4399999999986903</v>
      </c>
      <c r="K402" s="23">
        <f t="shared" si="20"/>
        <v>3.8238193067241565E-3</v>
      </c>
      <c r="L402" s="17">
        <f>SUMIFS('Registros manuales'!$D$5:$D$104,'Registros manuales'!$A$5:$A$104,A402,'Registros manuales'!$B$5:$B$104,B402,'Registros manuales'!$C$5:$C$104,C402)</f>
        <v>0</v>
      </c>
    </row>
    <row r="403" spans="1:12" x14ac:dyDescent="0.3">
      <c r="A403" s="16" t="s">
        <v>26</v>
      </c>
      <c r="B403" s="16" t="s">
        <v>11</v>
      </c>
      <c r="C403" s="31">
        <v>46240</v>
      </c>
      <c r="D403" s="17">
        <v>15018.05</v>
      </c>
      <c r="E403" s="17">
        <v>0</v>
      </c>
      <c r="F403" s="17">
        <v>1444.87</v>
      </c>
      <c r="G403" s="17">
        <v>0</v>
      </c>
      <c r="H403" s="17">
        <f t="shared" si="18"/>
        <v>13573.18</v>
      </c>
      <c r="I403" s="17">
        <v>13580.17</v>
      </c>
      <c r="J403" s="17">
        <f t="shared" si="19"/>
        <v>6.9899999999997817</v>
      </c>
      <c r="K403" s="23">
        <f t="shared" si="20"/>
        <v>4.8378054773092266E-3</v>
      </c>
      <c r="L403" s="17">
        <f>SUMIFS('Registros manuales'!$D$5:$D$104,'Registros manuales'!$A$5:$A$104,A403,'Registros manuales'!$B$5:$B$104,B403,'Registros manuales'!$C$5:$C$104,C403)</f>
        <v>0</v>
      </c>
    </row>
    <row r="404" spans="1:12" x14ac:dyDescent="0.3">
      <c r="A404" s="16" t="s">
        <v>26</v>
      </c>
      <c r="B404" s="16" t="s">
        <v>11</v>
      </c>
      <c r="C404" s="31">
        <v>46241</v>
      </c>
      <c r="D404" s="17">
        <v>13580.17</v>
      </c>
      <c r="E404" s="17">
        <v>0</v>
      </c>
      <c r="F404" s="17">
        <v>1612.79</v>
      </c>
      <c r="G404" s="17">
        <v>0</v>
      </c>
      <c r="H404" s="17">
        <f t="shared" si="18"/>
        <v>11967.380000000001</v>
      </c>
      <c r="I404" s="17">
        <v>11972.37</v>
      </c>
      <c r="J404" s="17">
        <f t="shared" si="19"/>
        <v>4.9899999999997817</v>
      </c>
      <c r="K404" s="23">
        <f t="shared" si="20"/>
        <v>3.0940172000073051E-3</v>
      </c>
      <c r="L404" s="17">
        <f>SUMIFS('Registros manuales'!$D$5:$D$104,'Registros manuales'!$A$5:$A$104,A404,'Registros manuales'!$B$5:$B$104,B404,'Registros manuales'!$C$5:$C$104,C404)</f>
        <v>0</v>
      </c>
    </row>
    <row r="405" spans="1:12" x14ac:dyDescent="0.3">
      <c r="A405" s="16" t="s">
        <v>26</v>
      </c>
      <c r="B405" s="16" t="s">
        <v>11</v>
      </c>
      <c r="C405" s="31">
        <v>46242</v>
      </c>
      <c r="D405" s="17">
        <v>11972.37</v>
      </c>
      <c r="E405" s="17">
        <v>0</v>
      </c>
      <c r="F405" s="17">
        <v>1626.01</v>
      </c>
      <c r="G405" s="17">
        <v>0</v>
      </c>
      <c r="H405" s="17">
        <f t="shared" si="18"/>
        <v>10346.36</v>
      </c>
      <c r="I405" s="17">
        <v>10349.68</v>
      </c>
      <c r="J405" s="17">
        <f t="shared" si="19"/>
        <v>3.319999999999709</v>
      </c>
      <c r="K405" s="23">
        <f t="shared" si="20"/>
        <v>2.0418078609600859E-3</v>
      </c>
      <c r="L405" s="17">
        <f>SUMIFS('Registros manuales'!$D$5:$D$104,'Registros manuales'!$A$5:$A$104,A405,'Registros manuales'!$B$5:$B$104,B405,'Registros manuales'!$C$5:$C$104,C405)</f>
        <v>0</v>
      </c>
    </row>
    <row r="406" spans="1:12" x14ac:dyDescent="0.3">
      <c r="A406" s="16" t="s">
        <v>26</v>
      </c>
      <c r="B406" s="16" t="s">
        <v>11</v>
      </c>
      <c r="C406" s="31">
        <v>46243</v>
      </c>
      <c r="D406" s="17">
        <v>10349.68</v>
      </c>
      <c r="E406" s="17">
        <v>0</v>
      </c>
      <c r="F406" s="17">
        <v>1799.41</v>
      </c>
      <c r="G406" s="17">
        <v>0</v>
      </c>
      <c r="H406" s="17">
        <f t="shared" si="18"/>
        <v>8550.27</v>
      </c>
      <c r="I406" s="17">
        <v>8553.33</v>
      </c>
      <c r="J406" s="17">
        <f t="shared" si="19"/>
        <v>3.0599999999994907</v>
      </c>
      <c r="K406" s="23">
        <f t="shared" si="20"/>
        <v>1.7005574049268875E-3</v>
      </c>
      <c r="L406" s="17">
        <f>SUMIFS('Registros manuales'!$D$5:$D$104,'Registros manuales'!$A$5:$A$104,A406,'Registros manuales'!$B$5:$B$104,B406,'Registros manuales'!$C$5:$C$104,C406)</f>
        <v>0</v>
      </c>
    </row>
    <row r="407" spans="1:12" x14ac:dyDescent="0.3">
      <c r="A407" s="16" t="s">
        <v>26</v>
      </c>
      <c r="B407" s="16" t="s">
        <v>11</v>
      </c>
      <c r="C407" s="31">
        <v>46244</v>
      </c>
      <c r="D407" s="17">
        <v>8553.33</v>
      </c>
      <c r="E407" s="17">
        <v>19811</v>
      </c>
      <c r="F407" s="17">
        <v>1444.86</v>
      </c>
      <c r="G407" s="17">
        <v>0</v>
      </c>
      <c r="H407" s="17">
        <f t="shared" si="18"/>
        <v>26919.47</v>
      </c>
      <c r="I407" s="17">
        <v>26711.57</v>
      </c>
      <c r="J407" s="17">
        <f t="shared" si="19"/>
        <v>-207.90000000000146</v>
      </c>
      <c r="K407" s="23">
        <f t="shared" si="20"/>
        <v>-0.14388937336489449</v>
      </c>
      <c r="L407" s="17">
        <f>SUMIFS('Registros manuales'!$D$5:$D$104,'Registros manuales'!$A$5:$A$104,A407,'Registros manuales'!$B$5:$B$104,B407,'Registros manuales'!$C$5:$C$104,C407)</f>
        <v>0</v>
      </c>
    </row>
    <row r="408" spans="1:12" x14ac:dyDescent="0.3">
      <c r="A408" s="16" t="s">
        <v>26</v>
      </c>
      <c r="B408" s="16" t="s">
        <v>11</v>
      </c>
      <c r="C408" s="31">
        <v>46245</v>
      </c>
      <c r="D408" s="17">
        <v>26711.57</v>
      </c>
      <c r="E408" s="17">
        <v>0</v>
      </c>
      <c r="F408" s="17">
        <v>1714.06</v>
      </c>
      <c r="G408" s="17">
        <v>0</v>
      </c>
      <c r="H408" s="17">
        <f t="shared" si="18"/>
        <v>24997.51</v>
      </c>
      <c r="I408" s="17">
        <v>24990.92</v>
      </c>
      <c r="J408" s="17">
        <f t="shared" si="19"/>
        <v>-6.5900000000001455</v>
      </c>
      <c r="K408" s="23">
        <f t="shared" si="20"/>
        <v>-3.8446728819295389E-3</v>
      </c>
      <c r="L408" s="17">
        <f>SUMIFS('Registros manuales'!$D$5:$D$104,'Registros manuales'!$A$5:$A$104,A408,'Registros manuales'!$B$5:$B$104,B408,'Registros manuales'!$C$5:$C$104,C408)</f>
        <v>0</v>
      </c>
    </row>
    <row r="409" spans="1:12" x14ac:dyDescent="0.3">
      <c r="A409" s="16" t="s">
        <v>26</v>
      </c>
      <c r="B409" s="16" t="s">
        <v>11</v>
      </c>
      <c r="C409" s="31">
        <v>46246</v>
      </c>
      <c r="D409" s="17">
        <v>24990.92</v>
      </c>
      <c r="E409" s="17">
        <v>0</v>
      </c>
      <c r="F409" s="17">
        <v>1563.68</v>
      </c>
      <c r="G409" s="17">
        <v>0</v>
      </c>
      <c r="H409" s="17">
        <f t="shared" si="18"/>
        <v>23427.239999999998</v>
      </c>
      <c r="I409" s="17">
        <v>23423.69</v>
      </c>
      <c r="J409" s="17">
        <f t="shared" si="19"/>
        <v>-3.5499999999992724</v>
      </c>
      <c r="K409" s="23">
        <f t="shared" si="20"/>
        <v>-2.2702854804047324E-3</v>
      </c>
      <c r="L409" s="17">
        <f>SUMIFS('Registros manuales'!$D$5:$D$104,'Registros manuales'!$A$5:$A$104,A409,'Registros manuales'!$B$5:$B$104,B409,'Registros manuales'!$C$5:$C$104,C409)</f>
        <v>0</v>
      </c>
    </row>
    <row r="410" spans="1:12" x14ac:dyDescent="0.3">
      <c r="A410" s="16" t="s">
        <v>26</v>
      </c>
      <c r="B410" s="16" t="s">
        <v>11</v>
      </c>
      <c r="C410" s="31">
        <v>46247</v>
      </c>
      <c r="D410" s="17">
        <v>23423.69</v>
      </c>
      <c r="E410" s="17">
        <v>0</v>
      </c>
      <c r="F410" s="17">
        <v>1295.4000000000001</v>
      </c>
      <c r="G410" s="17">
        <v>0</v>
      </c>
      <c r="H410" s="17">
        <f t="shared" si="18"/>
        <v>22128.289999999997</v>
      </c>
      <c r="I410" s="17">
        <v>22126.22</v>
      </c>
      <c r="J410" s="17">
        <f t="shared" si="19"/>
        <v>-2.069999999996071</v>
      </c>
      <c r="K410" s="23">
        <f t="shared" si="20"/>
        <v>-1.5979620194504175E-3</v>
      </c>
      <c r="L410" s="17">
        <f>SUMIFS('Registros manuales'!$D$5:$D$104,'Registros manuales'!$A$5:$A$104,A410,'Registros manuales'!$B$5:$B$104,B410,'Registros manuales'!$C$5:$C$104,C410)</f>
        <v>0</v>
      </c>
    </row>
    <row r="411" spans="1:12" x14ac:dyDescent="0.3">
      <c r="A411" s="16" t="s">
        <v>26</v>
      </c>
      <c r="B411" s="16" t="s">
        <v>11</v>
      </c>
      <c r="C411" s="31">
        <v>46248</v>
      </c>
      <c r="D411" s="17">
        <v>22126.22</v>
      </c>
      <c r="E411" s="17">
        <v>0</v>
      </c>
      <c r="F411" s="17">
        <v>1434.19</v>
      </c>
      <c r="G411" s="17">
        <v>0</v>
      </c>
      <c r="H411" s="17">
        <f t="shared" si="18"/>
        <v>20692.030000000002</v>
      </c>
      <c r="I411" s="17">
        <v>20691.97</v>
      </c>
      <c r="J411" s="17">
        <f t="shared" si="19"/>
        <v>-6.0000000001309672E-2</v>
      </c>
      <c r="K411" s="23">
        <f t="shared" si="20"/>
        <v>-4.1835461132283496E-5</v>
      </c>
      <c r="L411" s="17">
        <f>SUMIFS('Registros manuales'!$D$5:$D$104,'Registros manuales'!$A$5:$A$104,A411,'Registros manuales'!$B$5:$B$104,B411,'Registros manuales'!$C$5:$C$104,C411)</f>
        <v>0</v>
      </c>
    </row>
    <row r="412" spans="1:12" x14ac:dyDescent="0.3">
      <c r="A412" s="16" t="s">
        <v>26</v>
      </c>
      <c r="B412" s="16" t="s">
        <v>11</v>
      </c>
      <c r="C412" s="31">
        <v>46249</v>
      </c>
      <c r="D412" s="17">
        <v>20691.97</v>
      </c>
      <c r="E412" s="17">
        <v>0</v>
      </c>
      <c r="F412" s="17">
        <v>1598.25</v>
      </c>
      <c r="G412" s="17">
        <v>0</v>
      </c>
      <c r="H412" s="17">
        <f t="shared" si="18"/>
        <v>19093.72</v>
      </c>
      <c r="I412" s="17">
        <v>19090.93</v>
      </c>
      <c r="J412" s="17">
        <f t="shared" si="19"/>
        <v>-2.7900000000008731</v>
      </c>
      <c r="K412" s="23">
        <f t="shared" si="20"/>
        <v>-1.7456593148761916E-3</v>
      </c>
      <c r="L412" s="17">
        <f>SUMIFS('Registros manuales'!$D$5:$D$104,'Registros manuales'!$A$5:$A$104,A412,'Registros manuales'!$B$5:$B$104,B412,'Registros manuales'!$C$5:$C$104,C412)</f>
        <v>0</v>
      </c>
    </row>
    <row r="413" spans="1:12" x14ac:dyDescent="0.3">
      <c r="A413" s="16" t="s">
        <v>26</v>
      </c>
      <c r="B413" s="16" t="s">
        <v>11</v>
      </c>
      <c r="C413" s="31">
        <v>46250</v>
      </c>
      <c r="D413" s="17">
        <v>19090.93</v>
      </c>
      <c r="E413" s="17">
        <v>0</v>
      </c>
      <c r="F413" s="17">
        <v>1806.98</v>
      </c>
      <c r="G413" s="17">
        <v>0</v>
      </c>
      <c r="H413" s="17">
        <f t="shared" si="18"/>
        <v>17283.95</v>
      </c>
      <c r="I413" s="17">
        <v>17282.48</v>
      </c>
      <c r="J413" s="17">
        <f t="shared" si="19"/>
        <v>-1.4700000000011642</v>
      </c>
      <c r="K413" s="23">
        <f t="shared" si="20"/>
        <v>-8.1351204772668433E-4</v>
      </c>
      <c r="L413" s="17">
        <f>SUMIFS('Registros manuales'!$D$5:$D$104,'Registros manuales'!$A$5:$A$104,A413,'Registros manuales'!$B$5:$B$104,B413,'Registros manuales'!$C$5:$C$104,C413)</f>
        <v>0</v>
      </c>
    </row>
    <row r="414" spans="1:12" x14ac:dyDescent="0.3">
      <c r="A414" s="16" t="s">
        <v>26</v>
      </c>
      <c r="B414" s="16" t="s">
        <v>11</v>
      </c>
      <c r="C414" s="31">
        <v>46251</v>
      </c>
      <c r="D414" s="17">
        <v>17282.48</v>
      </c>
      <c r="E414" s="17">
        <v>0</v>
      </c>
      <c r="F414" s="17">
        <v>1777.77</v>
      </c>
      <c r="G414" s="17">
        <v>0</v>
      </c>
      <c r="H414" s="17">
        <f t="shared" si="18"/>
        <v>15504.71</v>
      </c>
      <c r="I414" s="17">
        <v>15510.21</v>
      </c>
      <c r="J414" s="17">
        <f t="shared" si="19"/>
        <v>5.5</v>
      </c>
      <c r="K414" s="23">
        <f t="shared" si="20"/>
        <v>3.0937635352154668E-3</v>
      </c>
      <c r="L414" s="17">
        <f>SUMIFS('Registros manuales'!$D$5:$D$104,'Registros manuales'!$A$5:$A$104,A414,'Registros manuales'!$B$5:$B$104,B414,'Registros manuales'!$C$5:$C$104,C414)</f>
        <v>0</v>
      </c>
    </row>
    <row r="415" spans="1:12" x14ac:dyDescent="0.3">
      <c r="A415" s="16" t="s">
        <v>26</v>
      </c>
      <c r="B415" s="16" t="s">
        <v>11</v>
      </c>
      <c r="C415" s="31">
        <v>46252</v>
      </c>
      <c r="D415" s="17">
        <v>15510.21</v>
      </c>
      <c r="E415" s="17">
        <v>20083</v>
      </c>
      <c r="F415" s="17">
        <v>1127.3499999999999</v>
      </c>
      <c r="G415" s="17">
        <v>0</v>
      </c>
      <c r="H415" s="17">
        <f t="shared" si="18"/>
        <v>34465.86</v>
      </c>
      <c r="I415" s="17">
        <v>34089.68</v>
      </c>
      <c r="J415" s="17">
        <f t="shared" si="19"/>
        <v>-376.18000000000029</v>
      </c>
      <c r="K415" s="23">
        <f t="shared" si="20"/>
        <v>-0.33368519093449267</v>
      </c>
      <c r="L415" s="17">
        <f>SUMIFS('Registros manuales'!$D$5:$D$104,'Registros manuales'!$A$5:$A$104,A415,'Registros manuales'!$B$5:$B$104,B415,'Registros manuales'!$C$5:$C$104,C415)</f>
        <v>0</v>
      </c>
    </row>
    <row r="416" spans="1:12" x14ac:dyDescent="0.3">
      <c r="A416" s="16" t="s">
        <v>26</v>
      </c>
      <c r="B416" s="16" t="s">
        <v>11</v>
      </c>
      <c r="C416" s="31">
        <v>46253</v>
      </c>
      <c r="D416" s="17">
        <v>34089.68</v>
      </c>
      <c r="E416" s="17">
        <v>0</v>
      </c>
      <c r="F416" s="17">
        <v>1556.54</v>
      </c>
      <c r="G416" s="17">
        <v>0</v>
      </c>
      <c r="H416" s="17">
        <f t="shared" si="18"/>
        <v>32533.14</v>
      </c>
      <c r="I416" s="17">
        <v>32566.880000000001</v>
      </c>
      <c r="J416" s="17">
        <f t="shared" si="19"/>
        <v>33.740000000001601</v>
      </c>
      <c r="K416" s="23">
        <f t="shared" si="20"/>
        <v>2.1676282010100353E-2</v>
      </c>
      <c r="L416" s="17">
        <f>SUMIFS('Registros manuales'!$D$5:$D$104,'Registros manuales'!$A$5:$A$104,A416,'Registros manuales'!$B$5:$B$104,B416,'Registros manuales'!$C$5:$C$104,C416)</f>
        <v>0</v>
      </c>
    </row>
    <row r="417" spans="1:12" x14ac:dyDescent="0.3">
      <c r="A417" s="16" t="s">
        <v>26</v>
      </c>
      <c r="B417" s="16" t="s">
        <v>11</v>
      </c>
      <c r="C417" s="31">
        <v>46254</v>
      </c>
      <c r="D417" s="17">
        <v>32566.880000000001</v>
      </c>
      <c r="E417" s="17">
        <v>0</v>
      </c>
      <c r="F417" s="17">
        <v>1578.11</v>
      </c>
      <c r="G417" s="17">
        <v>0</v>
      </c>
      <c r="H417" s="17">
        <f t="shared" si="18"/>
        <v>30988.77</v>
      </c>
      <c r="I417" s="17">
        <v>31009.69</v>
      </c>
      <c r="J417" s="17">
        <f t="shared" si="19"/>
        <v>20.919999999998254</v>
      </c>
      <c r="K417" s="23">
        <f t="shared" si="20"/>
        <v>1.3256363624841269E-2</v>
      </c>
      <c r="L417" s="17">
        <f>SUMIFS('Registros manuales'!$D$5:$D$104,'Registros manuales'!$A$5:$A$104,A417,'Registros manuales'!$B$5:$B$104,B417,'Registros manuales'!$C$5:$C$104,C417)</f>
        <v>0</v>
      </c>
    </row>
    <row r="418" spans="1:12" x14ac:dyDescent="0.3">
      <c r="A418" s="16" t="s">
        <v>26</v>
      </c>
      <c r="B418" s="16" t="s">
        <v>11</v>
      </c>
      <c r="C418" s="31">
        <v>46255</v>
      </c>
      <c r="D418" s="17">
        <v>31009.69</v>
      </c>
      <c r="E418" s="17">
        <v>0</v>
      </c>
      <c r="F418" s="17">
        <v>1396.22</v>
      </c>
      <c r="G418" s="17">
        <v>0</v>
      </c>
      <c r="H418" s="17">
        <f t="shared" si="18"/>
        <v>29613.469999999998</v>
      </c>
      <c r="I418" s="17">
        <v>29626.25</v>
      </c>
      <c r="J418" s="17">
        <f t="shared" si="19"/>
        <v>12.780000000002474</v>
      </c>
      <c r="K418" s="23">
        <f t="shared" si="20"/>
        <v>9.1532852988801712E-3</v>
      </c>
      <c r="L418" s="17">
        <f>SUMIFS('Registros manuales'!$D$5:$D$104,'Registros manuales'!$A$5:$A$104,A418,'Registros manuales'!$B$5:$B$104,B418,'Registros manuales'!$C$5:$C$104,C418)</f>
        <v>0</v>
      </c>
    </row>
    <row r="419" spans="1:12" x14ac:dyDescent="0.3">
      <c r="A419" s="16" t="s">
        <v>26</v>
      </c>
      <c r="B419" s="16" t="s">
        <v>11</v>
      </c>
      <c r="C419" s="31">
        <v>46256</v>
      </c>
      <c r="D419" s="17">
        <v>29626.25</v>
      </c>
      <c r="E419" s="17">
        <v>0</v>
      </c>
      <c r="F419" s="17">
        <v>1698.4</v>
      </c>
      <c r="G419" s="17">
        <v>0</v>
      </c>
      <c r="H419" s="17">
        <f t="shared" si="18"/>
        <v>27927.85</v>
      </c>
      <c r="I419" s="17">
        <v>27941.61</v>
      </c>
      <c r="J419" s="17">
        <f t="shared" si="19"/>
        <v>13.760000000002037</v>
      </c>
      <c r="K419" s="23">
        <f t="shared" si="20"/>
        <v>8.1017428167699228E-3</v>
      </c>
      <c r="L419" s="17">
        <f>SUMIFS('Registros manuales'!$D$5:$D$104,'Registros manuales'!$A$5:$A$104,A419,'Registros manuales'!$B$5:$B$104,B419,'Registros manuales'!$C$5:$C$104,C419)</f>
        <v>0</v>
      </c>
    </row>
    <row r="420" spans="1:12" x14ac:dyDescent="0.3">
      <c r="A420" s="16" t="s">
        <v>26</v>
      </c>
      <c r="B420" s="16" t="s">
        <v>11</v>
      </c>
      <c r="C420" s="31">
        <v>46257</v>
      </c>
      <c r="D420" s="17">
        <v>27941.61</v>
      </c>
      <c r="E420" s="17">
        <v>0</v>
      </c>
      <c r="F420" s="17">
        <v>1920.32</v>
      </c>
      <c r="G420" s="17">
        <v>0</v>
      </c>
      <c r="H420" s="17">
        <f t="shared" si="18"/>
        <v>26021.29</v>
      </c>
      <c r="I420" s="17">
        <v>26033.53</v>
      </c>
      <c r="J420" s="17">
        <f t="shared" si="19"/>
        <v>12.239999999997963</v>
      </c>
      <c r="K420" s="23">
        <f t="shared" si="20"/>
        <v>6.3739376770527633E-3</v>
      </c>
      <c r="L420" s="17">
        <f>SUMIFS('Registros manuales'!$D$5:$D$104,'Registros manuales'!$A$5:$A$104,A420,'Registros manuales'!$B$5:$B$104,B420,'Registros manuales'!$C$5:$C$104,C420)</f>
        <v>0</v>
      </c>
    </row>
    <row r="421" spans="1:12" x14ac:dyDescent="0.3">
      <c r="A421" s="16" t="s">
        <v>26</v>
      </c>
      <c r="B421" s="16" t="s">
        <v>11</v>
      </c>
      <c r="C421" s="31">
        <v>46258</v>
      </c>
      <c r="D421" s="17">
        <v>26033.53</v>
      </c>
      <c r="E421" s="17">
        <v>0</v>
      </c>
      <c r="F421" s="17">
        <v>1316.8</v>
      </c>
      <c r="G421" s="17">
        <v>0</v>
      </c>
      <c r="H421" s="17">
        <f t="shared" si="18"/>
        <v>24716.73</v>
      </c>
      <c r="I421" s="17">
        <v>24722.82</v>
      </c>
      <c r="J421" s="17">
        <f t="shared" si="19"/>
        <v>6.0900000000001455</v>
      </c>
      <c r="K421" s="23">
        <f t="shared" si="20"/>
        <v>4.6248481166465266E-3</v>
      </c>
      <c r="L421" s="17">
        <f>SUMIFS('Registros manuales'!$D$5:$D$104,'Registros manuales'!$A$5:$A$104,A421,'Registros manuales'!$B$5:$B$104,B421,'Registros manuales'!$C$5:$C$104,C421)</f>
        <v>0</v>
      </c>
    </row>
    <row r="422" spans="1:12" x14ac:dyDescent="0.3">
      <c r="A422" s="16" t="s">
        <v>26</v>
      </c>
      <c r="B422" s="16" t="s">
        <v>11</v>
      </c>
      <c r="C422" s="31">
        <v>46259</v>
      </c>
      <c r="D422" s="17">
        <v>24722.82</v>
      </c>
      <c r="E422" s="17">
        <v>0</v>
      </c>
      <c r="F422" s="17">
        <v>1336.44</v>
      </c>
      <c r="G422" s="17">
        <v>0</v>
      </c>
      <c r="H422" s="17">
        <f t="shared" si="18"/>
        <v>23386.38</v>
      </c>
      <c r="I422" s="17">
        <v>23384.47</v>
      </c>
      <c r="J422" s="17">
        <f t="shared" si="19"/>
        <v>-1.9099999999998545</v>
      </c>
      <c r="K422" s="23">
        <f t="shared" si="20"/>
        <v>-1.4291700338210876E-3</v>
      </c>
      <c r="L422" s="17">
        <f>SUMIFS('Registros manuales'!$D$5:$D$104,'Registros manuales'!$A$5:$A$104,A422,'Registros manuales'!$B$5:$B$104,B422,'Registros manuales'!$C$5:$C$104,C422)</f>
        <v>0</v>
      </c>
    </row>
    <row r="423" spans="1:12" x14ac:dyDescent="0.3">
      <c r="A423" s="16" t="s">
        <v>26</v>
      </c>
      <c r="B423" s="16" t="s">
        <v>11</v>
      </c>
      <c r="C423" s="31">
        <v>46260</v>
      </c>
      <c r="D423" s="17">
        <v>23384.47</v>
      </c>
      <c r="E423" s="17">
        <v>0</v>
      </c>
      <c r="F423" s="17">
        <v>1501.09</v>
      </c>
      <c r="G423" s="17">
        <v>0</v>
      </c>
      <c r="H423" s="17">
        <f t="shared" si="18"/>
        <v>21883.38</v>
      </c>
      <c r="I423" s="17">
        <v>21887.200000000001</v>
      </c>
      <c r="J423" s="17">
        <f t="shared" si="19"/>
        <v>3.819999999999709</v>
      </c>
      <c r="K423" s="23">
        <f t="shared" si="20"/>
        <v>2.5448174326654026E-3</v>
      </c>
      <c r="L423" s="17">
        <f>SUMIFS('Registros manuales'!$D$5:$D$104,'Registros manuales'!$A$5:$A$104,A423,'Registros manuales'!$B$5:$B$104,B423,'Registros manuales'!$C$5:$C$104,C423)</f>
        <v>0</v>
      </c>
    </row>
    <row r="424" spans="1:12" x14ac:dyDescent="0.3">
      <c r="A424" s="16" t="s">
        <v>26</v>
      </c>
      <c r="B424" s="16" t="s">
        <v>11</v>
      </c>
      <c r="C424" s="31">
        <v>46261</v>
      </c>
      <c r="D424" s="17">
        <v>21887.200000000001</v>
      </c>
      <c r="E424" s="17">
        <v>0</v>
      </c>
      <c r="F424" s="17">
        <v>1370.61</v>
      </c>
      <c r="G424" s="17">
        <v>0</v>
      </c>
      <c r="H424" s="17">
        <f t="shared" si="18"/>
        <v>20516.59</v>
      </c>
      <c r="I424" s="17">
        <v>20523.16</v>
      </c>
      <c r="J424" s="17">
        <f t="shared" si="19"/>
        <v>6.569999999999709</v>
      </c>
      <c r="K424" s="23">
        <f t="shared" si="20"/>
        <v>4.7934861120229018E-3</v>
      </c>
      <c r="L424" s="17">
        <f>SUMIFS('Registros manuales'!$D$5:$D$104,'Registros manuales'!$A$5:$A$104,A424,'Registros manuales'!$B$5:$B$104,B424,'Registros manuales'!$C$5:$C$104,C424)</f>
        <v>0</v>
      </c>
    </row>
    <row r="425" spans="1:12" x14ac:dyDescent="0.3">
      <c r="A425" s="16" t="s">
        <v>26</v>
      </c>
      <c r="B425" s="16" t="s">
        <v>11</v>
      </c>
      <c r="C425" s="31">
        <v>46262</v>
      </c>
      <c r="D425" s="17">
        <v>20523.16</v>
      </c>
      <c r="E425" s="17">
        <v>0</v>
      </c>
      <c r="F425" s="17">
        <v>1255.18</v>
      </c>
      <c r="G425" s="17">
        <v>0</v>
      </c>
      <c r="H425" s="17">
        <f t="shared" si="18"/>
        <v>19267.98</v>
      </c>
      <c r="I425" s="17">
        <v>19273.55</v>
      </c>
      <c r="J425" s="17">
        <f t="shared" si="19"/>
        <v>5.569999999999709</v>
      </c>
      <c r="K425" s="23">
        <f t="shared" si="20"/>
        <v>4.4376105419140751E-3</v>
      </c>
      <c r="L425" s="17">
        <f>SUMIFS('Registros manuales'!$D$5:$D$104,'Registros manuales'!$A$5:$A$104,A425,'Registros manuales'!$B$5:$B$104,B425,'Registros manuales'!$C$5:$C$104,C425)</f>
        <v>0</v>
      </c>
    </row>
    <row r="426" spans="1:12" x14ac:dyDescent="0.3">
      <c r="A426" s="16" t="s">
        <v>26</v>
      </c>
      <c r="B426" s="16" t="s">
        <v>11</v>
      </c>
      <c r="C426" s="31">
        <v>46263</v>
      </c>
      <c r="D426" s="17">
        <v>19273.55</v>
      </c>
      <c r="E426" s="17">
        <v>0</v>
      </c>
      <c r="F426" s="17">
        <v>1596.76</v>
      </c>
      <c r="G426" s="17">
        <v>0</v>
      </c>
      <c r="H426" s="17">
        <f t="shared" si="18"/>
        <v>17676.79</v>
      </c>
      <c r="I426" s="17">
        <v>17694.95</v>
      </c>
      <c r="J426" s="17">
        <f t="shared" si="19"/>
        <v>18.159999999999854</v>
      </c>
      <c r="K426" s="23">
        <f t="shared" si="20"/>
        <v>1.1373030386532638E-2</v>
      </c>
      <c r="L426" s="17">
        <f>SUMIFS('Registros manuales'!$D$5:$D$104,'Registros manuales'!$A$5:$A$104,A426,'Registros manuales'!$B$5:$B$104,B426,'Registros manuales'!$C$5:$C$104,C426)</f>
        <v>0</v>
      </c>
    </row>
    <row r="427" spans="1:12" x14ac:dyDescent="0.3">
      <c r="A427" s="16" t="s">
        <v>26</v>
      </c>
      <c r="B427" s="16" t="s">
        <v>11</v>
      </c>
      <c r="C427" s="31">
        <v>46264</v>
      </c>
      <c r="D427" s="17">
        <v>17694.95</v>
      </c>
      <c r="E427" s="17">
        <v>0</v>
      </c>
      <c r="F427" s="17">
        <v>1799.06</v>
      </c>
      <c r="G427" s="17">
        <v>0</v>
      </c>
      <c r="H427" s="17">
        <f t="shared" si="18"/>
        <v>15895.890000000001</v>
      </c>
      <c r="I427" s="17">
        <v>15903.47</v>
      </c>
      <c r="J427" s="17">
        <f t="shared" si="19"/>
        <v>7.5799999999981083</v>
      </c>
      <c r="K427" s="23">
        <f t="shared" si="20"/>
        <v>4.2133113959501676E-3</v>
      </c>
      <c r="L427" s="17">
        <f>SUMIFS('Registros manuales'!$D$5:$D$104,'Registros manuales'!$A$5:$A$104,A427,'Registros manuales'!$B$5:$B$104,B427,'Registros manuales'!$C$5:$C$104,C427)</f>
        <v>0</v>
      </c>
    </row>
    <row r="428" spans="1:12" x14ac:dyDescent="0.3">
      <c r="A428" s="16" t="s">
        <v>26</v>
      </c>
      <c r="B428" s="16" t="s">
        <v>11</v>
      </c>
      <c r="C428" s="31">
        <v>46265</v>
      </c>
      <c r="D428" s="17">
        <v>15903.47</v>
      </c>
      <c r="E428" s="17">
        <v>0</v>
      </c>
      <c r="F428" s="17">
        <v>1585.09</v>
      </c>
      <c r="G428" s="17">
        <v>0</v>
      </c>
      <c r="H428" s="17">
        <f t="shared" si="18"/>
        <v>14318.38</v>
      </c>
      <c r="I428" s="17">
        <v>14310.07</v>
      </c>
      <c r="J428" s="17">
        <f t="shared" si="19"/>
        <v>-8.3099999999994907</v>
      </c>
      <c r="K428" s="23">
        <f t="shared" si="20"/>
        <v>-5.2426045208786194E-3</v>
      </c>
      <c r="L428" s="17">
        <f>SUMIFS('Registros manuales'!$D$5:$D$104,'Registros manuales'!$A$5:$A$104,A428,'Registros manuales'!$B$5:$B$104,B428,'Registros manuales'!$C$5:$C$104,C428)</f>
        <v>0</v>
      </c>
    </row>
    <row r="429" spans="1:12" x14ac:dyDescent="0.3">
      <c r="A429" s="16" t="s">
        <v>26</v>
      </c>
      <c r="B429" s="16" t="s">
        <v>12</v>
      </c>
      <c r="C429" s="31">
        <v>46237</v>
      </c>
      <c r="D429" s="17">
        <v>33526.58</v>
      </c>
      <c r="E429" s="17">
        <v>29840</v>
      </c>
      <c r="F429" s="17">
        <v>5122.32</v>
      </c>
      <c r="G429" s="17">
        <v>0</v>
      </c>
      <c r="H429" s="17">
        <f t="shared" si="18"/>
        <v>58244.26</v>
      </c>
      <c r="I429" s="17">
        <v>58244.26</v>
      </c>
      <c r="J429" s="17">
        <f t="shared" si="19"/>
        <v>0</v>
      </c>
      <c r="K429" s="23">
        <f t="shared" si="20"/>
        <v>0</v>
      </c>
      <c r="L429" s="17">
        <f>SUMIFS('Registros manuales'!$D$5:$D$104,'Registros manuales'!$A$5:$A$104,A429,'Registros manuales'!$B$5:$B$104,B429,'Registros manuales'!$C$5:$C$104,C429)</f>
        <v>0</v>
      </c>
    </row>
    <row r="430" spans="1:12" x14ac:dyDescent="0.3">
      <c r="A430" s="16" t="s">
        <v>26</v>
      </c>
      <c r="B430" s="16" t="s">
        <v>12</v>
      </c>
      <c r="C430" s="31">
        <v>46238</v>
      </c>
      <c r="D430" s="17">
        <v>58244.26</v>
      </c>
      <c r="E430" s="17">
        <v>0</v>
      </c>
      <c r="F430" s="17">
        <v>9847.75</v>
      </c>
      <c r="G430" s="17">
        <v>0</v>
      </c>
      <c r="H430" s="17">
        <f t="shared" si="18"/>
        <v>48396.51</v>
      </c>
      <c r="I430" s="17">
        <v>48418.879999999997</v>
      </c>
      <c r="J430" s="17">
        <f t="shared" si="19"/>
        <v>22.369999999995343</v>
      </c>
      <c r="K430" s="23">
        <f t="shared" si="20"/>
        <v>2.2715848797944041E-3</v>
      </c>
      <c r="L430" s="17">
        <f>SUMIFS('Registros manuales'!$D$5:$D$104,'Registros manuales'!$A$5:$A$104,A430,'Registros manuales'!$B$5:$B$104,B430,'Registros manuales'!$C$5:$C$104,C430)</f>
        <v>0</v>
      </c>
    </row>
    <row r="431" spans="1:12" x14ac:dyDescent="0.3">
      <c r="A431" s="16" t="s">
        <v>26</v>
      </c>
      <c r="B431" s="16" t="s">
        <v>12</v>
      </c>
      <c r="C431" s="31">
        <v>46239</v>
      </c>
      <c r="D431" s="17">
        <v>48418.879999999997</v>
      </c>
      <c r="E431" s="17">
        <v>0</v>
      </c>
      <c r="F431" s="17">
        <v>8265.44</v>
      </c>
      <c r="G431" s="17">
        <v>0</v>
      </c>
      <c r="H431" s="17">
        <f t="shared" si="18"/>
        <v>40153.439999999995</v>
      </c>
      <c r="I431" s="17">
        <v>40181.83</v>
      </c>
      <c r="J431" s="17">
        <f t="shared" si="19"/>
        <v>28.390000000006694</v>
      </c>
      <c r="K431" s="23">
        <f t="shared" si="20"/>
        <v>3.4347838711558843E-3</v>
      </c>
      <c r="L431" s="17">
        <f>SUMIFS('Registros manuales'!$D$5:$D$104,'Registros manuales'!$A$5:$A$104,A431,'Registros manuales'!$B$5:$B$104,B431,'Registros manuales'!$C$5:$C$104,C431)</f>
        <v>0</v>
      </c>
    </row>
    <row r="432" spans="1:12" x14ac:dyDescent="0.3">
      <c r="A432" s="16" t="s">
        <v>26</v>
      </c>
      <c r="B432" s="16" t="s">
        <v>12</v>
      </c>
      <c r="C432" s="31">
        <v>46240</v>
      </c>
      <c r="D432" s="17">
        <v>40181.83</v>
      </c>
      <c r="E432" s="17">
        <v>0</v>
      </c>
      <c r="F432" s="17">
        <v>9944.89</v>
      </c>
      <c r="G432" s="17">
        <v>0</v>
      </c>
      <c r="H432" s="17">
        <f t="shared" si="18"/>
        <v>30236.940000000002</v>
      </c>
      <c r="I432" s="17">
        <v>30270.2</v>
      </c>
      <c r="J432" s="17">
        <f t="shared" si="19"/>
        <v>33.259999999998399</v>
      </c>
      <c r="K432" s="23">
        <f t="shared" si="20"/>
        <v>3.3444311601232794E-3</v>
      </c>
      <c r="L432" s="17">
        <f>SUMIFS('Registros manuales'!$D$5:$D$104,'Registros manuales'!$A$5:$A$104,A432,'Registros manuales'!$B$5:$B$104,B432,'Registros manuales'!$C$5:$C$104,C432)</f>
        <v>0</v>
      </c>
    </row>
    <row r="433" spans="1:12" x14ac:dyDescent="0.3">
      <c r="A433" s="16" t="s">
        <v>26</v>
      </c>
      <c r="B433" s="16" t="s">
        <v>12</v>
      </c>
      <c r="C433" s="31">
        <v>46241</v>
      </c>
      <c r="D433" s="17">
        <v>30270.2</v>
      </c>
      <c r="E433" s="17">
        <v>0</v>
      </c>
      <c r="F433" s="17">
        <v>12878.81</v>
      </c>
      <c r="G433" s="17">
        <v>0</v>
      </c>
      <c r="H433" s="17">
        <f t="shared" si="18"/>
        <v>17391.39</v>
      </c>
      <c r="I433" s="17">
        <v>17448.66</v>
      </c>
      <c r="J433" s="17">
        <f t="shared" si="19"/>
        <v>57.270000000000437</v>
      </c>
      <c r="K433" s="23">
        <f t="shared" si="20"/>
        <v>4.4468394207229115E-3</v>
      </c>
      <c r="L433" s="17">
        <f>SUMIFS('Registros manuales'!$D$5:$D$104,'Registros manuales'!$A$5:$A$104,A433,'Registros manuales'!$B$5:$B$104,B433,'Registros manuales'!$C$5:$C$104,C433)</f>
        <v>0</v>
      </c>
    </row>
    <row r="434" spans="1:12" x14ac:dyDescent="0.3">
      <c r="A434" s="16" t="s">
        <v>26</v>
      </c>
      <c r="B434" s="16" t="s">
        <v>12</v>
      </c>
      <c r="C434" s="31">
        <v>46242</v>
      </c>
      <c r="D434" s="17">
        <v>17448.66</v>
      </c>
      <c r="E434" s="17">
        <v>36004</v>
      </c>
      <c r="F434" s="17">
        <v>9028.01</v>
      </c>
      <c r="G434" s="17">
        <v>0</v>
      </c>
      <c r="H434" s="17">
        <f t="shared" si="18"/>
        <v>44424.65</v>
      </c>
      <c r="I434" s="17">
        <v>44056.13</v>
      </c>
      <c r="J434" s="17">
        <f t="shared" si="19"/>
        <v>-368.52000000000407</v>
      </c>
      <c r="K434" s="23">
        <f t="shared" si="20"/>
        <v>-4.0819626916674227E-2</v>
      </c>
      <c r="L434" s="17">
        <f>SUMIFS('Registros manuales'!$D$5:$D$104,'Registros manuales'!$A$5:$A$104,A434,'Registros manuales'!$B$5:$B$104,B434,'Registros manuales'!$C$5:$C$104,C434)</f>
        <v>0</v>
      </c>
    </row>
    <row r="435" spans="1:12" x14ac:dyDescent="0.3">
      <c r="A435" s="16" t="s">
        <v>26</v>
      </c>
      <c r="B435" s="16" t="s">
        <v>12</v>
      </c>
      <c r="C435" s="31">
        <v>46243</v>
      </c>
      <c r="D435" s="17">
        <v>44056.13</v>
      </c>
      <c r="E435" s="17">
        <v>0</v>
      </c>
      <c r="F435" s="17">
        <v>7061.79</v>
      </c>
      <c r="G435" s="17">
        <v>0</v>
      </c>
      <c r="H435" s="17">
        <f t="shared" si="18"/>
        <v>36994.339999999997</v>
      </c>
      <c r="I435" s="17">
        <v>37019.01</v>
      </c>
      <c r="J435" s="17">
        <f t="shared" si="19"/>
        <v>24.67000000000553</v>
      </c>
      <c r="K435" s="23">
        <f t="shared" si="20"/>
        <v>3.4934485449164489E-3</v>
      </c>
      <c r="L435" s="17">
        <f>SUMIFS('Registros manuales'!$D$5:$D$104,'Registros manuales'!$A$5:$A$104,A435,'Registros manuales'!$B$5:$B$104,B435,'Registros manuales'!$C$5:$C$104,C435)</f>
        <v>0</v>
      </c>
    </row>
    <row r="436" spans="1:12" x14ac:dyDescent="0.3">
      <c r="A436" s="16" t="s">
        <v>26</v>
      </c>
      <c r="B436" s="16" t="s">
        <v>12</v>
      </c>
      <c r="C436" s="31">
        <v>46244</v>
      </c>
      <c r="D436" s="17">
        <v>37019.01</v>
      </c>
      <c r="E436" s="17">
        <v>29893</v>
      </c>
      <c r="F436" s="17">
        <v>7918.19</v>
      </c>
      <c r="G436" s="17">
        <v>0</v>
      </c>
      <c r="H436" s="17">
        <f t="shared" si="18"/>
        <v>58993.820000000007</v>
      </c>
      <c r="I436" s="17">
        <v>58914.75</v>
      </c>
      <c r="J436" s="17">
        <f t="shared" si="19"/>
        <v>-79.070000000006985</v>
      </c>
      <c r="K436" s="23">
        <f t="shared" si="20"/>
        <v>-9.9858679824564693E-3</v>
      </c>
      <c r="L436" s="17">
        <f>SUMIFS('Registros manuales'!$D$5:$D$104,'Registros manuales'!$A$5:$A$104,A436,'Registros manuales'!$B$5:$B$104,B436,'Registros manuales'!$C$5:$C$104,C436)</f>
        <v>0</v>
      </c>
    </row>
    <row r="437" spans="1:12" x14ac:dyDescent="0.3">
      <c r="A437" s="16" t="s">
        <v>26</v>
      </c>
      <c r="B437" s="16" t="s">
        <v>12</v>
      </c>
      <c r="C437" s="31">
        <v>46245</v>
      </c>
      <c r="D437" s="17">
        <v>58914.75</v>
      </c>
      <c r="E437" s="17">
        <v>0</v>
      </c>
      <c r="F437" s="17">
        <v>9198.2900000000009</v>
      </c>
      <c r="G437" s="17">
        <v>0</v>
      </c>
      <c r="H437" s="17">
        <f t="shared" si="18"/>
        <v>49716.46</v>
      </c>
      <c r="I437" s="17">
        <v>49733.17</v>
      </c>
      <c r="J437" s="17">
        <f t="shared" si="19"/>
        <v>16.709999999999127</v>
      </c>
      <c r="K437" s="23">
        <f t="shared" si="20"/>
        <v>1.816642006285856E-3</v>
      </c>
      <c r="L437" s="17">
        <f>SUMIFS('Registros manuales'!$D$5:$D$104,'Registros manuales'!$A$5:$A$104,A437,'Registros manuales'!$B$5:$B$104,B437,'Registros manuales'!$C$5:$C$104,C437)</f>
        <v>0</v>
      </c>
    </row>
    <row r="438" spans="1:12" x14ac:dyDescent="0.3">
      <c r="A438" s="16" t="s">
        <v>26</v>
      </c>
      <c r="B438" s="16" t="s">
        <v>12</v>
      </c>
      <c r="C438" s="31">
        <v>46246</v>
      </c>
      <c r="D438" s="17">
        <v>49733.17</v>
      </c>
      <c r="E438" s="17">
        <v>0</v>
      </c>
      <c r="F438" s="17">
        <v>8014.07</v>
      </c>
      <c r="G438" s="17">
        <v>0</v>
      </c>
      <c r="H438" s="17">
        <f t="shared" si="18"/>
        <v>41719.1</v>
      </c>
      <c r="I438" s="17">
        <v>41749.4</v>
      </c>
      <c r="J438" s="17">
        <f t="shared" si="19"/>
        <v>30.30000000000291</v>
      </c>
      <c r="K438" s="23">
        <f t="shared" si="20"/>
        <v>3.780850429307819E-3</v>
      </c>
      <c r="L438" s="17">
        <f>SUMIFS('Registros manuales'!$D$5:$D$104,'Registros manuales'!$A$5:$A$104,A438,'Registros manuales'!$B$5:$B$104,B438,'Registros manuales'!$C$5:$C$104,C438)</f>
        <v>0</v>
      </c>
    </row>
    <row r="439" spans="1:12" x14ac:dyDescent="0.3">
      <c r="A439" s="16" t="s">
        <v>26</v>
      </c>
      <c r="B439" s="16" t="s">
        <v>12</v>
      </c>
      <c r="C439" s="31">
        <v>46247</v>
      </c>
      <c r="D439" s="17">
        <v>41749.4</v>
      </c>
      <c r="E439" s="17">
        <v>0</v>
      </c>
      <c r="F439" s="17">
        <v>13334.59</v>
      </c>
      <c r="G439" s="17">
        <v>0</v>
      </c>
      <c r="H439" s="17">
        <f t="shared" si="18"/>
        <v>28414.81</v>
      </c>
      <c r="I439" s="17">
        <v>28467.599999999999</v>
      </c>
      <c r="J439" s="17">
        <f t="shared" si="19"/>
        <v>52.789999999997235</v>
      </c>
      <c r="K439" s="23">
        <f t="shared" si="20"/>
        <v>3.9588768758542434E-3</v>
      </c>
      <c r="L439" s="17">
        <f>SUMIFS('Registros manuales'!$D$5:$D$104,'Registros manuales'!$A$5:$A$104,A439,'Registros manuales'!$B$5:$B$104,B439,'Registros manuales'!$C$5:$C$104,C439)</f>
        <v>0</v>
      </c>
    </row>
    <row r="440" spans="1:12" x14ac:dyDescent="0.3">
      <c r="A440" s="16" t="s">
        <v>26</v>
      </c>
      <c r="B440" s="16" t="s">
        <v>12</v>
      </c>
      <c r="C440" s="31">
        <v>46248</v>
      </c>
      <c r="D440" s="17">
        <v>28467.599999999999</v>
      </c>
      <c r="E440" s="17">
        <v>29934</v>
      </c>
      <c r="F440" s="17">
        <v>9415.5400000000009</v>
      </c>
      <c r="G440" s="17">
        <v>0</v>
      </c>
      <c r="H440" s="17">
        <f t="shared" si="18"/>
        <v>48986.06</v>
      </c>
      <c r="I440" s="17">
        <v>48898.45</v>
      </c>
      <c r="J440" s="17">
        <f t="shared" si="19"/>
        <v>-87.610000000000582</v>
      </c>
      <c r="K440" s="23">
        <f t="shared" si="20"/>
        <v>-9.3048301000261888E-3</v>
      </c>
      <c r="L440" s="17">
        <f>SUMIFS('Registros manuales'!$D$5:$D$104,'Registros manuales'!$A$5:$A$104,A440,'Registros manuales'!$B$5:$B$104,B440,'Registros manuales'!$C$5:$C$104,C440)</f>
        <v>0</v>
      </c>
    </row>
    <row r="441" spans="1:12" x14ac:dyDescent="0.3">
      <c r="A441" s="16" t="s">
        <v>26</v>
      </c>
      <c r="B441" s="16" t="s">
        <v>12</v>
      </c>
      <c r="C441" s="31">
        <v>46249</v>
      </c>
      <c r="D441" s="17">
        <v>48898.45</v>
      </c>
      <c r="E441" s="17">
        <v>0</v>
      </c>
      <c r="F441" s="17">
        <v>8585.4</v>
      </c>
      <c r="G441" s="17">
        <v>0</v>
      </c>
      <c r="H441" s="17">
        <f t="shared" si="18"/>
        <v>40313.049999999996</v>
      </c>
      <c r="I441" s="17">
        <v>40340.800000000003</v>
      </c>
      <c r="J441" s="17">
        <f t="shared" si="19"/>
        <v>27.750000000007276</v>
      </c>
      <c r="K441" s="23">
        <f t="shared" si="20"/>
        <v>3.232231462716621E-3</v>
      </c>
      <c r="L441" s="17">
        <f>SUMIFS('Registros manuales'!$D$5:$D$104,'Registros manuales'!$A$5:$A$104,A441,'Registros manuales'!$B$5:$B$104,B441,'Registros manuales'!$C$5:$C$104,C441)</f>
        <v>0</v>
      </c>
    </row>
    <row r="442" spans="1:12" x14ac:dyDescent="0.3">
      <c r="A442" s="16" t="s">
        <v>26</v>
      </c>
      <c r="B442" s="16" t="s">
        <v>12</v>
      </c>
      <c r="C442" s="31">
        <v>46250</v>
      </c>
      <c r="D442" s="17">
        <v>40340.800000000003</v>
      </c>
      <c r="E442" s="17">
        <v>0</v>
      </c>
      <c r="F442" s="17">
        <v>3448.37</v>
      </c>
      <c r="G442" s="17">
        <v>0</v>
      </c>
      <c r="H442" s="17">
        <f t="shared" si="18"/>
        <v>36892.43</v>
      </c>
      <c r="I442" s="17">
        <v>36910.720000000001</v>
      </c>
      <c r="J442" s="17">
        <f t="shared" si="19"/>
        <v>18.290000000000873</v>
      </c>
      <c r="K442" s="23">
        <f t="shared" si="20"/>
        <v>5.3039552020232384E-3</v>
      </c>
      <c r="L442" s="17">
        <f>SUMIFS('Registros manuales'!$D$5:$D$104,'Registros manuales'!$A$5:$A$104,A442,'Registros manuales'!$B$5:$B$104,B442,'Registros manuales'!$C$5:$C$104,C442)</f>
        <v>0</v>
      </c>
    </row>
    <row r="443" spans="1:12" x14ac:dyDescent="0.3">
      <c r="A443" s="16" t="s">
        <v>26</v>
      </c>
      <c r="B443" s="16" t="s">
        <v>12</v>
      </c>
      <c r="C443" s="31">
        <v>46251</v>
      </c>
      <c r="D443" s="17">
        <v>36910.720000000001</v>
      </c>
      <c r="E443" s="17">
        <v>0</v>
      </c>
      <c r="F443" s="17">
        <v>9094.18</v>
      </c>
      <c r="G443" s="17">
        <v>0</v>
      </c>
      <c r="H443" s="17">
        <f t="shared" si="18"/>
        <v>27816.54</v>
      </c>
      <c r="I443" s="17">
        <v>27843.01</v>
      </c>
      <c r="J443" s="17">
        <f t="shared" si="19"/>
        <v>26.469999999997526</v>
      </c>
      <c r="K443" s="23">
        <f t="shared" si="20"/>
        <v>2.9106527471413064E-3</v>
      </c>
      <c r="L443" s="17">
        <f>SUMIFS('Registros manuales'!$D$5:$D$104,'Registros manuales'!$A$5:$A$104,A443,'Registros manuales'!$B$5:$B$104,B443,'Registros manuales'!$C$5:$C$104,C443)</f>
        <v>0</v>
      </c>
    </row>
    <row r="444" spans="1:12" x14ac:dyDescent="0.3">
      <c r="A444" s="16" t="s">
        <v>26</v>
      </c>
      <c r="B444" s="16" t="s">
        <v>12</v>
      </c>
      <c r="C444" s="31">
        <v>46252</v>
      </c>
      <c r="D444" s="17">
        <v>27843.01</v>
      </c>
      <c r="E444" s="17">
        <v>10117</v>
      </c>
      <c r="F444" s="17">
        <v>8184.64</v>
      </c>
      <c r="G444" s="17">
        <v>0</v>
      </c>
      <c r="H444" s="17">
        <f t="shared" si="18"/>
        <v>29775.369999999995</v>
      </c>
      <c r="I444" s="17">
        <v>29681.71</v>
      </c>
      <c r="J444" s="17">
        <f t="shared" si="19"/>
        <v>-93.659999999996217</v>
      </c>
      <c r="K444" s="23">
        <f t="shared" si="20"/>
        <v>-1.1443386636430707E-2</v>
      </c>
      <c r="L444" s="17">
        <f>SUMIFS('Registros manuales'!$D$5:$D$104,'Registros manuales'!$A$5:$A$104,A444,'Registros manuales'!$B$5:$B$104,B444,'Registros manuales'!$C$5:$C$104,C444)</f>
        <v>0</v>
      </c>
    </row>
    <row r="445" spans="1:12" x14ac:dyDescent="0.3">
      <c r="A445" s="16" t="s">
        <v>26</v>
      </c>
      <c r="B445" s="16" t="s">
        <v>12</v>
      </c>
      <c r="C445" s="31">
        <v>46253</v>
      </c>
      <c r="D445" s="17">
        <v>29681.71</v>
      </c>
      <c r="E445" s="17">
        <v>0</v>
      </c>
      <c r="F445" s="17">
        <v>10618.99</v>
      </c>
      <c r="G445" s="17">
        <v>0</v>
      </c>
      <c r="H445" s="17">
        <f t="shared" si="18"/>
        <v>19062.72</v>
      </c>
      <c r="I445" s="17">
        <v>19120.64</v>
      </c>
      <c r="J445" s="17">
        <f t="shared" si="19"/>
        <v>57.919999999998254</v>
      </c>
      <c r="K445" s="23">
        <f t="shared" si="20"/>
        <v>5.4543793712959763E-3</v>
      </c>
      <c r="L445" s="17">
        <f>SUMIFS('Registros manuales'!$D$5:$D$104,'Registros manuales'!$A$5:$A$104,A445,'Registros manuales'!$B$5:$B$104,B445,'Registros manuales'!$C$5:$C$104,C445)</f>
        <v>0</v>
      </c>
    </row>
    <row r="446" spans="1:12" x14ac:dyDescent="0.3">
      <c r="A446" s="16" t="s">
        <v>26</v>
      </c>
      <c r="B446" s="16" t="s">
        <v>12</v>
      </c>
      <c r="C446" s="31">
        <v>46254</v>
      </c>
      <c r="D446" s="17">
        <v>19120.64</v>
      </c>
      <c r="E446" s="17">
        <v>29887</v>
      </c>
      <c r="F446" s="17">
        <v>9368.4599999999991</v>
      </c>
      <c r="G446" s="17">
        <v>0</v>
      </c>
      <c r="H446" s="17">
        <f t="shared" si="18"/>
        <v>39639.18</v>
      </c>
      <c r="I446" s="17">
        <v>39425.33</v>
      </c>
      <c r="J446" s="17">
        <f t="shared" si="19"/>
        <v>-213.84999999999854</v>
      </c>
      <c r="K446" s="23">
        <f t="shared" si="20"/>
        <v>-2.2826590496196661E-2</v>
      </c>
      <c r="L446" s="17">
        <f>SUMIFS('Registros manuales'!$D$5:$D$104,'Registros manuales'!$A$5:$A$104,A446,'Registros manuales'!$B$5:$B$104,B446,'Registros manuales'!$C$5:$C$104,C446)</f>
        <v>0</v>
      </c>
    </row>
    <row r="447" spans="1:12" x14ac:dyDescent="0.3">
      <c r="A447" s="16" t="s">
        <v>26</v>
      </c>
      <c r="B447" s="16" t="s">
        <v>12</v>
      </c>
      <c r="C447" s="31">
        <v>46255</v>
      </c>
      <c r="D447" s="17">
        <v>39425.33</v>
      </c>
      <c r="E447" s="17">
        <v>0</v>
      </c>
      <c r="F447" s="17">
        <v>12688.65</v>
      </c>
      <c r="G447" s="17">
        <v>0</v>
      </c>
      <c r="H447" s="17">
        <f t="shared" si="18"/>
        <v>26736.68</v>
      </c>
      <c r="I447" s="17">
        <v>26762.1</v>
      </c>
      <c r="J447" s="17">
        <f t="shared" si="19"/>
        <v>25.419999999998254</v>
      </c>
      <c r="K447" s="23">
        <f t="shared" si="20"/>
        <v>2.0033652122170803E-3</v>
      </c>
      <c r="L447" s="17">
        <f>SUMIFS('Registros manuales'!$D$5:$D$104,'Registros manuales'!$A$5:$A$104,A447,'Registros manuales'!$B$5:$B$104,B447,'Registros manuales'!$C$5:$C$104,C447)</f>
        <v>0</v>
      </c>
    </row>
    <row r="448" spans="1:12" x14ac:dyDescent="0.3">
      <c r="A448" s="16" t="s">
        <v>26</v>
      </c>
      <c r="B448" s="16" t="s">
        <v>12</v>
      </c>
      <c r="C448" s="31">
        <v>46256</v>
      </c>
      <c r="D448" s="17">
        <v>26762.1</v>
      </c>
      <c r="E448" s="17">
        <v>29937</v>
      </c>
      <c r="F448" s="17">
        <v>9375.19</v>
      </c>
      <c r="G448" s="17">
        <v>0</v>
      </c>
      <c r="H448" s="17">
        <f t="shared" si="18"/>
        <v>47323.909999999996</v>
      </c>
      <c r="I448" s="17">
        <v>47399.39</v>
      </c>
      <c r="J448" s="17">
        <f t="shared" si="19"/>
        <v>75.480000000003201</v>
      </c>
      <c r="K448" s="23">
        <f t="shared" si="20"/>
        <v>8.0510368323205399E-3</v>
      </c>
      <c r="L448" s="17">
        <f>SUMIFS('Registros manuales'!$D$5:$D$104,'Registros manuales'!$A$5:$A$104,A448,'Registros manuales'!$B$5:$B$104,B448,'Registros manuales'!$C$5:$C$104,C448)</f>
        <v>0</v>
      </c>
    </row>
    <row r="449" spans="1:12" x14ac:dyDescent="0.3">
      <c r="A449" s="16" t="s">
        <v>26</v>
      </c>
      <c r="B449" s="16" t="s">
        <v>12</v>
      </c>
      <c r="C449" s="31">
        <v>46257</v>
      </c>
      <c r="D449" s="17">
        <v>47399.39</v>
      </c>
      <c r="E449" s="17">
        <v>0</v>
      </c>
      <c r="F449" s="17">
        <v>4741.91</v>
      </c>
      <c r="G449" s="17">
        <v>0</v>
      </c>
      <c r="H449" s="17">
        <f t="shared" si="18"/>
        <v>42657.479999999996</v>
      </c>
      <c r="I449" s="17">
        <v>42681.3</v>
      </c>
      <c r="J449" s="17">
        <f t="shared" si="19"/>
        <v>23.820000000006985</v>
      </c>
      <c r="K449" s="23">
        <f t="shared" si="20"/>
        <v>5.0232923020485385E-3</v>
      </c>
      <c r="L449" s="17">
        <f>SUMIFS('Registros manuales'!$D$5:$D$104,'Registros manuales'!$A$5:$A$104,A449,'Registros manuales'!$B$5:$B$104,B449,'Registros manuales'!$C$5:$C$104,C449)</f>
        <v>0</v>
      </c>
    </row>
    <row r="450" spans="1:12" x14ac:dyDescent="0.3">
      <c r="A450" s="16" t="s">
        <v>26</v>
      </c>
      <c r="B450" s="16" t="s">
        <v>12</v>
      </c>
      <c r="C450" s="31">
        <v>46258</v>
      </c>
      <c r="D450" s="17">
        <v>42681.3</v>
      </c>
      <c r="E450" s="17">
        <v>0</v>
      </c>
      <c r="F450" s="17">
        <v>11788.11</v>
      </c>
      <c r="G450" s="17">
        <v>0</v>
      </c>
      <c r="H450" s="17">
        <f t="shared" si="18"/>
        <v>30893.190000000002</v>
      </c>
      <c r="I450" s="17">
        <v>30939.85</v>
      </c>
      <c r="J450" s="17">
        <f t="shared" si="19"/>
        <v>46.659999999996217</v>
      </c>
      <c r="K450" s="23">
        <f t="shared" si="20"/>
        <v>3.9582257036960304E-3</v>
      </c>
      <c r="L450" s="17">
        <f>SUMIFS('Registros manuales'!$D$5:$D$104,'Registros manuales'!$A$5:$A$104,A450,'Registros manuales'!$B$5:$B$104,B450,'Registros manuales'!$C$5:$C$104,C450)</f>
        <v>0</v>
      </c>
    </row>
    <row r="451" spans="1:12" x14ac:dyDescent="0.3">
      <c r="A451" s="16" t="s">
        <v>26</v>
      </c>
      <c r="B451" s="16" t="s">
        <v>12</v>
      </c>
      <c r="C451" s="31">
        <v>46259</v>
      </c>
      <c r="D451" s="17">
        <v>30939.85</v>
      </c>
      <c r="E451" s="17">
        <v>10123</v>
      </c>
      <c r="F451" s="17">
        <v>12700.06</v>
      </c>
      <c r="G451" s="17">
        <v>0</v>
      </c>
      <c r="H451" s="17">
        <f t="shared" si="18"/>
        <v>28362.79</v>
      </c>
      <c r="I451" s="17">
        <v>28382.48</v>
      </c>
      <c r="J451" s="17">
        <f t="shared" si="19"/>
        <v>19.68999999999869</v>
      </c>
      <c r="K451" s="23">
        <f t="shared" si="20"/>
        <v>1.5503863761272539E-3</v>
      </c>
      <c r="L451" s="17">
        <f>SUMIFS('Registros manuales'!$D$5:$D$104,'Registros manuales'!$A$5:$A$104,A451,'Registros manuales'!$B$5:$B$104,B451,'Registros manuales'!$C$5:$C$104,C451)</f>
        <v>0</v>
      </c>
    </row>
    <row r="452" spans="1:12" x14ac:dyDescent="0.3">
      <c r="A452" s="16" t="s">
        <v>26</v>
      </c>
      <c r="B452" s="16" t="s">
        <v>12</v>
      </c>
      <c r="C452" s="31">
        <v>46260</v>
      </c>
      <c r="D452" s="17">
        <v>28382.48</v>
      </c>
      <c r="E452" s="17">
        <v>29936</v>
      </c>
      <c r="F452" s="17">
        <v>8139.85</v>
      </c>
      <c r="G452" s="17">
        <v>0</v>
      </c>
      <c r="H452" s="17">
        <f t="shared" si="18"/>
        <v>50178.63</v>
      </c>
      <c r="I452" s="17">
        <v>50104.81</v>
      </c>
      <c r="J452" s="17">
        <f t="shared" si="19"/>
        <v>-73.819999999999709</v>
      </c>
      <c r="K452" s="23">
        <f t="shared" si="20"/>
        <v>-9.0689631872822845E-3</v>
      </c>
      <c r="L452" s="17">
        <f>SUMIFS('Registros manuales'!$D$5:$D$104,'Registros manuales'!$A$5:$A$104,A452,'Registros manuales'!$B$5:$B$104,B452,'Registros manuales'!$C$5:$C$104,C452)</f>
        <v>0</v>
      </c>
    </row>
    <row r="453" spans="1:12" x14ac:dyDescent="0.3">
      <c r="A453" s="16" t="s">
        <v>26</v>
      </c>
      <c r="B453" s="16" t="s">
        <v>12</v>
      </c>
      <c r="C453" s="31">
        <v>46261</v>
      </c>
      <c r="D453" s="17">
        <v>50104.81</v>
      </c>
      <c r="E453" s="17">
        <v>0</v>
      </c>
      <c r="F453" s="17">
        <v>14253.79</v>
      </c>
      <c r="G453" s="17">
        <v>0</v>
      </c>
      <c r="H453" s="17">
        <f t="shared" ref="H453:H516" si="21">D453+E453+L453-F453+G453</f>
        <v>35851.019999999997</v>
      </c>
      <c r="I453" s="17">
        <v>35912.89</v>
      </c>
      <c r="J453" s="17">
        <f t="shared" ref="J453:J516" si="22">I453-H453</f>
        <v>61.870000000002619</v>
      </c>
      <c r="K453" s="23">
        <f t="shared" ref="K453:K516" si="23">IF(F453=0,0,J453/F453)</f>
        <v>4.3405999386831587E-3</v>
      </c>
      <c r="L453" s="17">
        <f>SUMIFS('Registros manuales'!$D$5:$D$104,'Registros manuales'!$A$5:$A$104,A453,'Registros manuales'!$B$5:$B$104,B453,'Registros manuales'!$C$5:$C$104,C453)</f>
        <v>0</v>
      </c>
    </row>
    <row r="454" spans="1:12" x14ac:dyDescent="0.3">
      <c r="A454" s="16" t="s">
        <v>26</v>
      </c>
      <c r="B454" s="16" t="s">
        <v>12</v>
      </c>
      <c r="C454" s="31">
        <v>46262</v>
      </c>
      <c r="D454" s="17">
        <v>35912.89</v>
      </c>
      <c r="E454" s="17">
        <v>0</v>
      </c>
      <c r="F454" s="17">
        <v>8809.11</v>
      </c>
      <c r="G454" s="17">
        <v>0</v>
      </c>
      <c r="H454" s="17">
        <f t="shared" si="21"/>
        <v>27103.78</v>
      </c>
      <c r="I454" s="17">
        <v>27126.51</v>
      </c>
      <c r="J454" s="17">
        <f t="shared" si="22"/>
        <v>22.729999999999563</v>
      </c>
      <c r="K454" s="23">
        <f t="shared" si="23"/>
        <v>2.5802833657429139E-3</v>
      </c>
      <c r="L454" s="17">
        <f>SUMIFS('Registros manuales'!$D$5:$D$104,'Registros manuales'!$A$5:$A$104,A454,'Registros manuales'!$B$5:$B$104,B454,'Registros manuales'!$C$5:$C$104,C454)</f>
        <v>0</v>
      </c>
    </row>
    <row r="455" spans="1:12" x14ac:dyDescent="0.3">
      <c r="A455" s="16" t="s">
        <v>26</v>
      </c>
      <c r="B455" s="16" t="s">
        <v>12</v>
      </c>
      <c r="C455" s="31">
        <v>46263</v>
      </c>
      <c r="D455" s="17">
        <v>27126.51</v>
      </c>
      <c r="E455" s="17">
        <v>30099</v>
      </c>
      <c r="F455" s="17">
        <v>6232.76</v>
      </c>
      <c r="G455" s="17">
        <v>0</v>
      </c>
      <c r="H455" s="17">
        <f t="shared" si="21"/>
        <v>50992.749999999993</v>
      </c>
      <c r="I455" s="17">
        <v>50728.95</v>
      </c>
      <c r="J455" s="17">
        <f t="shared" si="22"/>
        <v>-263.79999999999563</v>
      </c>
      <c r="K455" s="23">
        <f t="shared" si="23"/>
        <v>-4.2324748586500302E-2</v>
      </c>
      <c r="L455" s="17">
        <f>SUMIFS('Registros manuales'!$D$5:$D$104,'Registros manuales'!$A$5:$A$104,A455,'Registros manuales'!$B$5:$B$104,B455,'Registros manuales'!$C$5:$C$104,C455)</f>
        <v>0</v>
      </c>
    </row>
    <row r="456" spans="1:12" x14ac:dyDescent="0.3">
      <c r="A456" s="16" t="s">
        <v>26</v>
      </c>
      <c r="B456" s="16" t="s">
        <v>12</v>
      </c>
      <c r="C456" s="31">
        <v>46264</v>
      </c>
      <c r="D456" s="17">
        <v>50728.95</v>
      </c>
      <c r="E456" s="17">
        <v>0</v>
      </c>
      <c r="F456" s="17">
        <v>4541.79</v>
      </c>
      <c r="G456" s="17">
        <v>0</v>
      </c>
      <c r="H456" s="17">
        <f t="shared" si="21"/>
        <v>46187.159999999996</v>
      </c>
      <c r="I456" s="17">
        <v>46221.8</v>
      </c>
      <c r="J456" s="17">
        <f t="shared" si="22"/>
        <v>34.640000000006694</v>
      </c>
      <c r="K456" s="23">
        <f t="shared" si="23"/>
        <v>7.6269488461612476E-3</v>
      </c>
      <c r="L456" s="17">
        <f>SUMIFS('Registros manuales'!$D$5:$D$104,'Registros manuales'!$A$5:$A$104,A456,'Registros manuales'!$B$5:$B$104,B456,'Registros manuales'!$C$5:$C$104,C456)</f>
        <v>0</v>
      </c>
    </row>
    <row r="457" spans="1:12" x14ac:dyDescent="0.3">
      <c r="A457" s="16" t="s">
        <v>26</v>
      </c>
      <c r="B457" s="16" t="s">
        <v>12</v>
      </c>
      <c r="C457" s="31">
        <v>46265</v>
      </c>
      <c r="D457" s="17">
        <v>46221.8</v>
      </c>
      <c r="E457" s="17">
        <v>0</v>
      </c>
      <c r="F457" s="17">
        <v>10025.81</v>
      </c>
      <c r="G457" s="17">
        <v>0</v>
      </c>
      <c r="H457" s="17">
        <f t="shared" si="21"/>
        <v>36195.990000000005</v>
      </c>
      <c r="I457" s="17">
        <v>36231.57</v>
      </c>
      <c r="J457" s="17">
        <f t="shared" si="22"/>
        <v>35.57999999999447</v>
      </c>
      <c r="K457" s="23">
        <f t="shared" si="23"/>
        <v>3.5488404428165379E-3</v>
      </c>
      <c r="L457" s="17">
        <f>SUMIFS('Registros manuales'!$D$5:$D$104,'Registros manuales'!$A$5:$A$104,A457,'Registros manuales'!$B$5:$B$104,B457,'Registros manuales'!$C$5:$C$104,C457)</f>
        <v>0</v>
      </c>
    </row>
    <row r="458" spans="1:12" x14ac:dyDescent="0.3">
      <c r="A458" s="16" t="s">
        <v>29</v>
      </c>
      <c r="B458" s="16" t="s">
        <v>10</v>
      </c>
      <c r="C458" s="31">
        <v>46235</v>
      </c>
      <c r="D458" s="17">
        <v>24181.21</v>
      </c>
      <c r="E458" s="17">
        <v>0</v>
      </c>
      <c r="F458" s="17">
        <v>4123.8999999999996</v>
      </c>
      <c r="G458" s="17">
        <v>0</v>
      </c>
      <c r="H458" s="17">
        <f t="shared" si="21"/>
        <v>20057.309999999998</v>
      </c>
      <c r="I458" s="17">
        <v>20134.72</v>
      </c>
      <c r="J458" s="17">
        <f t="shared" si="22"/>
        <v>77.410000000003492</v>
      </c>
      <c r="K458" s="23">
        <f t="shared" si="23"/>
        <v>1.8771066223721114E-2</v>
      </c>
      <c r="L458" s="17">
        <f>SUMIFS('Registros manuales'!$D$5:$D$104,'Registros manuales'!$A$5:$A$104,A458,'Registros manuales'!$B$5:$B$104,B458,'Registros manuales'!$C$5:$C$104,C458)</f>
        <v>0</v>
      </c>
    </row>
    <row r="459" spans="1:12" x14ac:dyDescent="0.3">
      <c r="A459" s="16" t="s">
        <v>29</v>
      </c>
      <c r="B459" s="16" t="s">
        <v>10</v>
      </c>
      <c r="C459" s="31">
        <v>46236</v>
      </c>
      <c r="D459" s="17">
        <v>20134.72</v>
      </c>
      <c r="E459" s="17">
        <v>0</v>
      </c>
      <c r="F459" s="17">
        <v>4237.42</v>
      </c>
      <c r="G459" s="17">
        <v>0</v>
      </c>
      <c r="H459" s="17">
        <f t="shared" si="21"/>
        <v>15897.300000000001</v>
      </c>
      <c r="I459" s="17">
        <v>16004.51</v>
      </c>
      <c r="J459" s="17">
        <f t="shared" si="22"/>
        <v>107.20999999999913</v>
      </c>
      <c r="K459" s="23">
        <f t="shared" si="23"/>
        <v>2.5300772639955237E-2</v>
      </c>
      <c r="L459" s="17">
        <f>SUMIFS('Registros manuales'!$D$5:$D$104,'Registros manuales'!$A$5:$A$104,A459,'Registros manuales'!$B$5:$B$104,B459,'Registros manuales'!$C$5:$C$104,C459)</f>
        <v>0</v>
      </c>
    </row>
    <row r="460" spans="1:12" x14ac:dyDescent="0.3">
      <c r="A460" s="16" t="s">
        <v>29</v>
      </c>
      <c r="B460" s="16" t="s">
        <v>10</v>
      </c>
      <c r="C460" s="31">
        <v>46237</v>
      </c>
      <c r="D460" s="17">
        <v>16004.51</v>
      </c>
      <c r="E460" s="17">
        <v>0</v>
      </c>
      <c r="F460" s="17">
        <v>4124.42</v>
      </c>
      <c r="G460" s="17">
        <v>0</v>
      </c>
      <c r="H460" s="17">
        <f t="shared" si="21"/>
        <v>11880.09</v>
      </c>
      <c r="I460" s="17">
        <v>12010.7</v>
      </c>
      <c r="J460" s="17">
        <f t="shared" si="22"/>
        <v>130.61000000000058</v>
      </c>
      <c r="K460" s="23">
        <f t="shared" si="23"/>
        <v>3.166748294305638E-2</v>
      </c>
      <c r="L460" s="17">
        <f>SUMIFS('Registros manuales'!$D$5:$D$104,'Registros manuales'!$A$5:$A$104,A460,'Registros manuales'!$B$5:$B$104,B460,'Registros manuales'!$C$5:$C$104,C460)</f>
        <v>0</v>
      </c>
    </row>
    <row r="461" spans="1:12" x14ac:dyDescent="0.3">
      <c r="A461" s="16" t="s">
        <v>29</v>
      </c>
      <c r="B461" s="16" t="s">
        <v>10</v>
      </c>
      <c r="C461" s="31">
        <v>46238</v>
      </c>
      <c r="D461" s="17">
        <v>12010.7</v>
      </c>
      <c r="E461" s="17">
        <v>29936</v>
      </c>
      <c r="F461" s="17">
        <v>3625.25</v>
      </c>
      <c r="G461" s="17">
        <v>0</v>
      </c>
      <c r="H461" s="17">
        <f t="shared" si="21"/>
        <v>38321.449999999997</v>
      </c>
      <c r="I461" s="17">
        <v>37807.75</v>
      </c>
      <c r="J461" s="17">
        <f t="shared" si="22"/>
        <v>-513.69999999999709</v>
      </c>
      <c r="K461" s="23">
        <f t="shared" si="23"/>
        <v>-0.14170057237431821</v>
      </c>
      <c r="L461" s="17">
        <f>SUMIFS('Registros manuales'!$D$5:$D$104,'Registros manuales'!$A$5:$A$104,A461,'Registros manuales'!$B$5:$B$104,B461,'Registros manuales'!$C$5:$C$104,C461)</f>
        <v>0</v>
      </c>
    </row>
    <row r="462" spans="1:12" x14ac:dyDescent="0.3">
      <c r="A462" s="16" t="s">
        <v>29</v>
      </c>
      <c r="B462" s="16" t="s">
        <v>10</v>
      </c>
      <c r="C462" s="31">
        <v>46239</v>
      </c>
      <c r="D462" s="17">
        <v>37807.75</v>
      </c>
      <c r="E462" s="17">
        <v>0</v>
      </c>
      <c r="F462" s="17">
        <v>3988.21</v>
      </c>
      <c r="G462" s="17">
        <v>0</v>
      </c>
      <c r="H462" s="17">
        <f t="shared" si="21"/>
        <v>33819.54</v>
      </c>
      <c r="I462" s="17">
        <v>33869.78</v>
      </c>
      <c r="J462" s="17">
        <f t="shared" si="22"/>
        <v>50.239999999997963</v>
      </c>
      <c r="K462" s="23">
        <f t="shared" si="23"/>
        <v>1.2597130040794734E-2</v>
      </c>
      <c r="L462" s="17">
        <f>SUMIFS('Registros manuales'!$D$5:$D$104,'Registros manuales'!$A$5:$A$104,A462,'Registros manuales'!$B$5:$B$104,B462,'Registros manuales'!$C$5:$C$104,C462)</f>
        <v>0</v>
      </c>
    </row>
    <row r="463" spans="1:12" x14ac:dyDescent="0.3">
      <c r="A463" s="16" t="s">
        <v>29</v>
      </c>
      <c r="B463" s="16" t="s">
        <v>10</v>
      </c>
      <c r="C463" s="31">
        <v>46240</v>
      </c>
      <c r="D463" s="17">
        <v>33869.78</v>
      </c>
      <c r="E463" s="17">
        <v>19856</v>
      </c>
      <c r="F463" s="17">
        <v>3872.77</v>
      </c>
      <c r="G463" s="17">
        <v>0</v>
      </c>
      <c r="H463" s="17">
        <f t="shared" si="21"/>
        <v>49853.01</v>
      </c>
      <c r="I463" s="17">
        <v>49813</v>
      </c>
      <c r="J463" s="17">
        <f t="shared" si="22"/>
        <v>-40.010000000002037</v>
      </c>
      <c r="K463" s="23">
        <f t="shared" si="23"/>
        <v>-1.0331106675584152E-2</v>
      </c>
      <c r="L463" s="17">
        <f>SUMIFS('Registros manuales'!$D$5:$D$104,'Registros manuales'!$A$5:$A$104,A463,'Registros manuales'!$B$5:$B$104,B463,'Registros manuales'!$C$5:$C$104,C463)</f>
        <v>0</v>
      </c>
    </row>
    <row r="464" spans="1:12" x14ac:dyDescent="0.3">
      <c r="A464" s="16" t="s">
        <v>29</v>
      </c>
      <c r="B464" s="16" t="s">
        <v>10</v>
      </c>
      <c r="C464" s="31">
        <v>46241</v>
      </c>
      <c r="D464" s="17">
        <v>49813</v>
      </c>
      <c r="E464" s="17">
        <v>0</v>
      </c>
      <c r="F464" s="17">
        <v>3921.32</v>
      </c>
      <c r="G464" s="17">
        <v>0</v>
      </c>
      <c r="H464" s="17">
        <f t="shared" si="21"/>
        <v>45891.68</v>
      </c>
      <c r="I464" s="17">
        <v>45902.879999999997</v>
      </c>
      <c r="J464" s="17">
        <f t="shared" si="22"/>
        <v>11.19999999999709</v>
      </c>
      <c r="K464" s="23">
        <f t="shared" si="23"/>
        <v>2.856181081879849E-3</v>
      </c>
      <c r="L464" s="17">
        <f>SUMIFS('Registros manuales'!$D$5:$D$104,'Registros manuales'!$A$5:$A$104,A464,'Registros manuales'!$B$5:$B$104,B464,'Registros manuales'!$C$5:$C$104,C464)</f>
        <v>0</v>
      </c>
    </row>
    <row r="465" spans="1:12" x14ac:dyDescent="0.3">
      <c r="A465" s="16" t="s">
        <v>29</v>
      </c>
      <c r="B465" s="16" t="s">
        <v>10</v>
      </c>
      <c r="C465" s="31">
        <v>46242</v>
      </c>
      <c r="D465" s="17">
        <v>45902.879999999997</v>
      </c>
      <c r="E465" s="17">
        <v>0</v>
      </c>
      <c r="F465" s="17">
        <v>4603.9799999999996</v>
      </c>
      <c r="G465" s="17">
        <v>0</v>
      </c>
      <c r="H465" s="17">
        <f t="shared" si="21"/>
        <v>41298.899999999994</v>
      </c>
      <c r="I465" s="17">
        <v>41317.78</v>
      </c>
      <c r="J465" s="17">
        <f t="shared" si="22"/>
        <v>18.880000000004657</v>
      </c>
      <c r="K465" s="23">
        <f t="shared" si="23"/>
        <v>4.1007997428322146E-3</v>
      </c>
      <c r="L465" s="17">
        <f>SUMIFS('Registros manuales'!$D$5:$D$104,'Registros manuales'!$A$5:$A$104,A465,'Registros manuales'!$B$5:$B$104,B465,'Registros manuales'!$C$5:$C$104,C465)</f>
        <v>0</v>
      </c>
    </row>
    <row r="466" spans="1:12" x14ac:dyDescent="0.3">
      <c r="A466" s="16" t="s">
        <v>29</v>
      </c>
      <c r="B466" s="16" t="s">
        <v>10</v>
      </c>
      <c r="C466" s="31">
        <v>46243</v>
      </c>
      <c r="D466" s="17">
        <v>41317.78</v>
      </c>
      <c r="E466" s="17">
        <v>0</v>
      </c>
      <c r="F466" s="17">
        <v>4256.2</v>
      </c>
      <c r="G466" s="17">
        <v>0</v>
      </c>
      <c r="H466" s="17">
        <f t="shared" si="21"/>
        <v>37061.58</v>
      </c>
      <c r="I466" s="17">
        <v>37087.800000000003</v>
      </c>
      <c r="J466" s="17">
        <f t="shared" si="22"/>
        <v>26.220000000001164</v>
      </c>
      <c r="K466" s="23">
        <f t="shared" si="23"/>
        <v>6.1604247920683157E-3</v>
      </c>
      <c r="L466" s="17">
        <f>SUMIFS('Registros manuales'!$D$5:$D$104,'Registros manuales'!$A$5:$A$104,A466,'Registros manuales'!$B$5:$B$104,B466,'Registros manuales'!$C$5:$C$104,C466)</f>
        <v>0</v>
      </c>
    </row>
    <row r="467" spans="1:12" x14ac:dyDescent="0.3">
      <c r="A467" s="16" t="s">
        <v>29</v>
      </c>
      <c r="B467" s="16" t="s">
        <v>10</v>
      </c>
      <c r="C467" s="31">
        <v>46244</v>
      </c>
      <c r="D467" s="17">
        <v>37087.800000000003</v>
      </c>
      <c r="E467" s="17">
        <v>0</v>
      </c>
      <c r="F467" s="17">
        <v>3667.52</v>
      </c>
      <c r="G467" s="17">
        <v>0</v>
      </c>
      <c r="H467" s="17">
        <f t="shared" si="21"/>
        <v>33420.280000000006</v>
      </c>
      <c r="I467" s="17">
        <v>33452.22</v>
      </c>
      <c r="J467" s="17">
        <f t="shared" si="22"/>
        <v>31.939999999995052</v>
      </c>
      <c r="K467" s="23">
        <f t="shared" si="23"/>
        <v>8.708882296482378E-3</v>
      </c>
      <c r="L467" s="17">
        <f>SUMIFS('Registros manuales'!$D$5:$D$104,'Registros manuales'!$A$5:$A$104,A467,'Registros manuales'!$B$5:$B$104,B467,'Registros manuales'!$C$5:$C$104,C467)</f>
        <v>0</v>
      </c>
    </row>
    <row r="468" spans="1:12" x14ac:dyDescent="0.3">
      <c r="A468" s="16" t="s">
        <v>29</v>
      </c>
      <c r="B468" s="16" t="s">
        <v>10</v>
      </c>
      <c r="C468" s="31">
        <v>46245</v>
      </c>
      <c r="D468" s="17">
        <v>33452.22</v>
      </c>
      <c r="E468" s="17">
        <v>0</v>
      </c>
      <c r="F468" s="17">
        <v>3823.28</v>
      </c>
      <c r="G468" s="17">
        <v>0</v>
      </c>
      <c r="H468" s="17">
        <f t="shared" si="21"/>
        <v>29628.940000000002</v>
      </c>
      <c r="I468" s="17">
        <v>29677.439999999999</v>
      </c>
      <c r="J468" s="17">
        <f t="shared" si="22"/>
        <v>48.499999999996362</v>
      </c>
      <c r="K468" s="23">
        <f t="shared" si="23"/>
        <v>1.2685442865810602E-2</v>
      </c>
      <c r="L468" s="17">
        <f>SUMIFS('Registros manuales'!$D$5:$D$104,'Registros manuales'!$A$5:$A$104,A468,'Registros manuales'!$B$5:$B$104,B468,'Registros manuales'!$C$5:$C$104,C468)</f>
        <v>0</v>
      </c>
    </row>
    <row r="469" spans="1:12" x14ac:dyDescent="0.3">
      <c r="A469" s="16" t="s">
        <v>29</v>
      </c>
      <c r="B469" s="16" t="s">
        <v>10</v>
      </c>
      <c r="C469" s="31">
        <v>46246</v>
      </c>
      <c r="D469" s="17">
        <v>29677.439999999999</v>
      </c>
      <c r="E469" s="17">
        <v>0</v>
      </c>
      <c r="F469" s="17">
        <v>3542.93</v>
      </c>
      <c r="G469" s="17">
        <v>0</v>
      </c>
      <c r="H469" s="17">
        <f t="shared" si="21"/>
        <v>26134.51</v>
      </c>
      <c r="I469" s="17">
        <v>26187.08</v>
      </c>
      <c r="J469" s="17">
        <f t="shared" si="22"/>
        <v>52.570000000003347</v>
      </c>
      <c r="K469" s="23">
        <f t="shared" si="23"/>
        <v>1.4838001315296478E-2</v>
      </c>
      <c r="L469" s="17">
        <f>SUMIFS('Registros manuales'!$D$5:$D$104,'Registros manuales'!$A$5:$A$104,A469,'Registros manuales'!$B$5:$B$104,B469,'Registros manuales'!$C$5:$C$104,C469)</f>
        <v>0</v>
      </c>
    </row>
    <row r="470" spans="1:12" x14ac:dyDescent="0.3">
      <c r="A470" s="16" t="s">
        <v>29</v>
      </c>
      <c r="B470" s="16" t="s">
        <v>10</v>
      </c>
      <c r="C470" s="31">
        <v>46247</v>
      </c>
      <c r="D470" s="17">
        <v>26187.08</v>
      </c>
      <c r="E470" s="17">
        <v>29822</v>
      </c>
      <c r="F470" s="17">
        <v>4087.64</v>
      </c>
      <c r="G470" s="17">
        <v>0</v>
      </c>
      <c r="H470" s="17">
        <f t="shared" si="21"/>
        <v>51921.440000000002</v>
      </c>
      <c r="I470" s="17">
        <v>51792.959999999999</v>
      </c>
      <c r="J470" s="17">
        <f t="shared" si="22"/>
        <v>-128.4800000000032</v>
      </c>
      <c r="K470" s="23">
        <f t="shared" si="23"/>
        <v>-3.1431339354738484E-2</v>
      </c>
      <c r="L470" s="17">
        <f>SUMIFS('Registros manuales'!$D$5:$D$104,'Registros manuales'!$A$5:$A$104,A470,'Registros manuales'!$B$5:$B$104,B470,'Registros manuales'!$C$5:$C$104,C470)</f>
        <v>0</v>
      </c>
    </row>
    <row r="471" spans="1:12" x14ac:dyDescent="0.3">
      <c r="A471" s="16" t="s">
        <v>29</v>
      </c>
      <c r="B471" s="16" t="s">
        <v>10</v>
      </c>
      <c r="C471" s="31">
        <v>46248</v>
      </c>
      <c r="D471" s="17">
        <v>51792.959999999999</v>
      </c>
      <c r="E471" s="17">
        <v>0</v>
      </c>
      <c r="F471" s="17">
        <v>4739.32</v>
      </c>
      <c r="G471" s="17">
        <v>0</v>
      </c>
      <c r="H471" s="17">
        <f t="shared" si="21"/>
        <v>47053.64</v>
      </c>
      <c r="I471" s="17">
        <v>47064.23</v>
      </c>
      <c r="J471" s="17">
        <f t="shared" si="22"/>
        <v>10.590000000003783</v>
      </c>
      <c r="K471" s="23">
        <f t="shared" si="23"/>
        <v>2.2344977760530593E-3</v>
      </c>
      <c r="L471" s="17">
        <f>SUMIFS('Registros manuales'!$D$5:$D$104,'Registros manuales'!$A$5:$A$104,A471,'Registros manuales'!$B$5:$B$104,B471,'Registros manuales'!$C$5:$C$104,C471)</f>
        <v>0</v>
      </c>
    </row>
    <row r="472" spans="1:12" x14ac:dyDescent="0.3">
      <c r="A472" s="16" t="s">
        <v>29</v>
      </c>
      <c r="B472" s="16" t="s">
        <v>10</v>
      </c>
      <c r="C472" s="31">
        <v>46249</v>
      </c>
      <c r="D472" s="17">
        <v>47064.23</v>
      </c>
      <c r="E472" s="17">
        <v>0</v>
      </c>
      <c r="F472" s="17">
        <v>4328.34</v>
      </c>
      <c r="G472" s="17">
        <v>0</v>
      </c>
      <c r="H472" s="17">
        <f t="shared" si="21"/>
        <v>42735.89</v>
      </c>
      <c r="I472" s="17">
        <v>42759.09</v>
      </c>
      <c r="J472" s="17">
        <f t="shared" si="22"/>
        <v>23.19999999999709</v>
      </c>
      <c r="K472" s="23">
        <f t="shared" si="23"/>
        <v>5.3600225490597064E-3</v>
      </c>
      <c r="L472" s="17">
        <f>SUMIFS('Registros manuales'!$D$5:$D$104,'Registros manuales'!$A$5:$A$104,A472,'Registros manuales'!$B$5:$B$104,B472,'Registros manuales'!$C$5:$C$104,C472)</f>
        <v>0</v>
      </c>
    </row>
    <row r="473" spans="1:12" x14ac:dyDescent="0.3">
      <c r="A473" s="16" t="s">
        <v>29</v>
      </c>
      <c r="B473" s="16" t="s">
        <v>10</v>
      </c>
      <c r="C473" s="31">
        <v>46250</v>
      </c>
      <c r="D473" s="17">
        <v>42759.09</v>
      </c>
      <c r="E473" s="17">
        <v>0</v>
      </c>
      <c r="F473" s="17">
        <v>3690.45</v>
      </c>
      <c r="G473" s="17">
        <v>0</v>
      </c>
      <c r="H473" s="17">
        <f t="shared" si="21"/>
        <v>39068.639999999999</v>
      </c>
      <c r="I473" s="17">
        <v>39080.89</v>
      </c>
      <c r="J473" s="17">
        <f t="shared" si="22"/>
        <v>12.25</v>
      </c>
      <c r="K473" s="23">
        <f t="shared" si="23"/>
        <v>3.3193783955886139E-3</v>
      </c>
      <c r="L473" s="17">
        <f>SUMIFS('Registros manuales'!$D$5:$D$104,'Registros manuales'!$A$5:$A$104,A473,'Registros manuales'!$B$5:$B$104,B473,'Registros manuales'!$C$5:$C$104,C473)</f>
        <v>0</v>
      </c>
    </row>
    <row r="474" spans="1:12" x14ac:dyDescent="0.3">
      <c r="A474" s="16" t="s">
        <v>29</v>
      </c>
      <c r="B474" s="16" t="s">
        <v>10</v>
      </c>
      <c r="C474" s="31">
        <v>46251</v>
      </c>
      <c r="D474" s="17">
        <v>39080.89</v>
      </c>
      <c r="E474" s="17">
        <v>0</v>
      </c>
      <c r="F474" s="17">
        <v>4864.47</v>
      </c>
      <c r="G474" s="17">
        <v>0</v>
      </c>
      <c r="H474" s="17">
        <f t="shared" si="21"/>
        <v>34216.42</v>
      </c>
      <c r="I474" s="17">
        <v>34257.14</v>
      </c>
      <c r="J474" s="17">
        <f t="shared" si="22"/>
        <v>40.720000000001164</v>
      </c>
      <c r="K474" s="23">
        <f t="shared" si="23"/>
        <v>8.3709016604072307E-3</v>
      </c>
      <c r="L474" s="17">
        <f>SUMIFS('Registros manuales'!$D$5:$D$104,'Registros manuales'!$A$5:$A$104,A474,'Registros manuales'!$B$5:$B$104,B474,'Registros manuales'!$C$5:$C$104,C474)</f>
        <v>0</v>
      </c>
    </row>
    <row r="475" spans="1:12" x14ac:dyDescent="0.3">
      <c r="A475" s="16" t="s">
        <v>29</v>
      </c>
      <c r="B475" s="16" t="s">
        <v>10</v>
      </c>
      <c r="C475" s="31">
        <v>46252</v>
      </c>
      <c r="D475" s="17">
        <v>34257.14</v>
      </c>
      <c r="E475" s="17">
        <v>0</v>
      </c>
      <c r="F475" s="17">
        <v>3809.3</v>
      </c>
      <c r="G475" s="17">
        <v>0</v>
      </c>
      <c r="H475" s="17">
        <f t="shared" si="21"/>
        <v>30447.84</v>
      </c>
      <c r="I475" s="17">
        <v>30491.46</v>
      </c>
      <c r="J475" s="17">
        <f t="shared" si="22"/>
        <v>43.619999999998981</v>
      </c>
      <c r="K475" s="23">
        <f t="shared" si="23"/>
        <v>1.1450922741710808E-2</v>
      </c>
      <c r="L475" s="17">
        <f>SUMIFS('Registros manuales'!$D$5:$D$104,'Registros manuales'!$A$5:$A$104,A475,'Registros manuales'!$B$5:$B$104,B475,'Registros manuales'!$C$5:$C$104,C475)</f>
        <v>0</v>
      </c>
    </row>
    <row r="476" spans="1:12" x14ac:dyDescent="0.3">
      <c r="A476" s="16" t="s">
        <v>29</v>
      </c>
      <c r="B476" s="16" t="s">
        <v>10</v>
      </c>
      <c r="C476" s="31">
        <v>46253</v>
      </c>
      <c r="D476" s="17">
        <v>30491.46</v>
      </c>
      <c r="E476" s="17">
        <v>0</v>
      </c>
      <c r="F476" s="17">
        <v>3816.59</v>
      </c>
      <c r="G476" s="17">
        <v>0</v>
      </c>
      <c r="H476" s="17">
        <f t="shared" si="21"/>
        <v>26674.87</v>
      </c>
      <c r="I476" s="17">
        <v>26727.06</v>
      </c>
      <c r="J476" s="17">
        <f t="shared" si="22"/>
        <v>52.190000000002328</v>
      </c>
      <c r="K476" s="23">
        <f t="shared" si="23"/>
        <v>1.367451049235111E-2</v>
      </c>
      <c r="L476" s="17">
        <f>SUMIFS('Registros manuales'!$D$5:$D$104,'Registros manuales'!$A$5:$A$104,A476,'Registros manuales'!$B$5:$B$104,B476,'Registros manuales'!$C$5:$C$104,C476)</f>
        <v>0</v>
      </c>
    </row>
    <row r="477" spans="1:12" x14ac:dyDescent="0.3">
      <c r="A477" s="16" t="s">
        <v>29</v>
      </c>
      <c r="B477" s="16" t="s">
        <v>10</v>
      </c>
      <c r="C477" s="31">
        <v>46254</v>
      </c>
      <c r="D477" s="17">
        <v>26727.06</v>
      </c>
      <c r="E477" s="17">
        <v>33735</v>
      </c>
      <c r="F477" s="17">
        <v>3790.54</v>
      </c>
      <c r="G477" s="17">
        <v>0</v>
      </c>
      <c r="H477" s="17">
        <f t="shared" si="21"/>
        <v>56671.519999999997</v>
      </c>
      <c r="I477" s="17">
        <v>58868.09</v>
      </c>
      <c r="J477" s="17">
        <f t="shared" si="22"/>
        <v>2196.5699999999997</v>
      </c>
      <c r="K477" s="23">
        <f t="shared" si="23"/>
        <v>0.57948735536361562</v>
      </c>
      <c r="L477" s="17">
        <f>SUMIFS('Registros manuales'!$D$5:$D$104,'Registros manuales'!$A$5:$A$104,A477,'Registros manuales'!$B$5:$B$104,B477,'Registros manuales'!$C$5:$C$104,C477)</f>
        <v>0</v>
      </c>
    </row>
    <row r="478" spans="1:12" x14ac:dyDescent="0.3">
      <c r="A478" s="16" t="s">
        <v>29</v>
      </c>
      <c r="B478" s="16" t="s">
        <v>10</v>
      </c>
      <c r="C478" s="31">
        <v>46255</v>
      </c>
      <c r="D478" s="17">
        <v>58868.09</v>
      </c>
      <c r="E478" s="17">
        <v>0</v>
      </c>
      <c r="F478" s="17">
        <v>4222.83</v>
      </c>
      <c r="G478" s="17">
        <v>0</v>
      </c>
      <c r="H478" s="17">
        <f t="shared" si="21"/>
        <v>54645.259999999995</v>
      </c>
      <c r="I478" s="17">
        <v>54743.06</v>
      </c>
      <c r="J478" s="17">
        <f t="shared" si="22"/>
        <v>97.80000000000291</v>
      </c>
      <c r="K478" s="23">
        <f t="shared" si="23"/>
        <v>2.3159824099005386E-2</v>
      </c>
      <c r="L478" s="17">
        <f>SUMIFS('Registros manuales'!$D$5:$D$104,'Registros manuales'!$A$5:$A$104,A478,'Registros manuales'!$B$5:$B$104,B478,'Registros manuales'!$C$5:$C$104,C478)</f>
        <v>0</v>
      </c>
    </row>
    <row r="479" spans="1:12" x14ac:dyDescent="0.3">
      <c r="A479" s="16" t="s">
        <v>29</v>
      </c>
      <c r="B479" s="16" t="s">
        <v>10</v>
      </c>
      <c r="C479" s="31">
        <v>46256</v>
      </c>
      <c r="D479" s="17">
        <v>54743.06</v>
      </c>
      <c r="E479" s="17">
        <v>0</v>
      </c>
      <c r="F479" s="17">
        <v>4521.05</v>
      </c>
      <c r="G479" s="17">
        <v>0</v>
      </c>
      <c r="H479" s="17">
        <f t="shared" si="21"/>
        <v>50222.009999999995</v>
      </c>
      <c r="I479" s="17">
        <v>50253.79</v>
      </c>
      <c r="J479" s="17">
        <f t="shared" si="22"/>
        <v>31.780000000006112</v>
      </c>
      <c r="K479" s="23">
        <f t="shared" si="23"/>
        <v>7.0293405293031727E-3</v>
      </c>
      <c r="L479" s="17">
        <f>SUMIFS('Registros manuales'!$D$5:$D$104,'Registros manuales'!$A$5:$A$104,A479,'Registros manuales'!$B$5:$B$104,B479,'Registros manuales'!$C$5:$C$104,C479)</f>
        <v>0</v>
      </c>
    </row>
    <row r="480" spans="1:12" x14ac:dyDescent="0.3">
      <c r="A480" s="16" t="s">
        <v>29</v>
      </c>
      <c r="B480" s="16" t="s">
        <v>10</v>
      </c>
      <c r="C480" s="31">
        <v>46257</v>
      </c>
      <c r="D480" s="17">
        <v>50253.79</v>
      </c>
      <c r="E480" s="17">
        <v>0</v>
      </c>
      <c r="F480" s="17">
        <v>3672.62</v>
      </c>
      <c r="G480" s="17">
        <v>0</v>
      </c>
      <c r="H480" s="17">
        <f t="shared" si="21"/>
        <v>46581.17</v>
      </c>
      <c r="I480" s="17">
        <v>46599.839999999997</v>
      </c>
      <c r="J480" s="17">
        <f t="shared" si="22"/>
        <v>18.669999999998254</v>
      </c>
      <c r="K480" s="23">
        <f t="shared" si="23"/>
        <v>5.0835643219277393E-3</v>
      </c>
      <c r="L480" s="17">
        <f>SUMIFS('Registros manuales'!$D$5:$D$104,'Registros manuales'!$A$5:$A$104,A480,'Registros manuales'!$B$5:$B$104,B480,'Registros manuales'!$C$5:$C$104,C480)</f>
        <v>0</v>
      </c>
    </row>
    <row r="481" spans="1:12" x14ac:dyDescent="0.3">
      <c r="A481" s="16" t="s">
        <v>29</v>
      </c>
      <c r="B481" s="16" t="s">
        <v>10</v>
      </c>
      <c r="C481" s="31">
        <v>46258</v>
      </c>
      <c r="D481" s="17">
        <v>46599.839999999997</v>
      </c>
      <c r="E481" s="17">
        <v>10117</v>
      </c>
      <c r="F481" s="17">
        <v>3165.26</v>
      </c>
      <c r="G481" s="17">
        <v>0</v>
      </c>
      <c r="H481" s="17">
        <f t="shared" si="21"/>
        <v>53551.579999999994</v>
      </c>
      <c r="I481" s="17">
        <v>53578.16</v>
      </c>
      <c r="J481" s="17">
        <f t="shared" si="22"/>
        <v>26.580000000009022</v>
      </c>
      <c r="K481" s="23">
        <f t="shared" si="23"/>
        <v>8.3974144304129906E-3</v>
      </c>
      <c r="L481" s="17">
        <f>SUMIFS('Registros manuales'!$D$5:$D$104,'Registros manuales'!$A$5:$A$104,A481,'Registros manuales'!$B$5:$B$104,B481,'Registros manuales'!$C$5:$C$104,C481)</f>
        <v>0</v>
      </c>
    </row>
    <row r="482" spans="1:12" x14ac:dyDescent="0.3">
      <c r="A482" s="16" t="s">
        <v>29</v>
      </c>
      <c r="B482" s="16" t="s">
        <v>10</v>
      </c>
      <c r="C482" s="31">
        <v>46259</v>
      </c>
      <c r="D482" s="17">
        <v>53578.16</v>
      </c>
      <c r="E482" s="17">
        <v>0</v>
      </c>
      <c r="F482" s="17">
        <v>3534.56</v>
      </c>
      <c r="G482" s="17">
        <v>0</v>
      </c>
      <c r="H482" s="17">
        <f t="shared" si="21"/>
        <v>50043.600000000006</v>
      </c>
      <c r="I482" s="17">
        <v>50064.86</v>
      </c>
      <c r="J482" s="17">
        <f t="shared" si="22"/>
        <v>21.259999999994761</v>
      </c>
      <c r="K482" s="23">
        <f t="shared" si="23"/>
        <v>6.0148929428259137E-3</v>
      </c>
      <c r="L482" s="17">
        <f>SUMIFS('Registros manuales'!$D$5:$D$104,'Registros manuales'!$A$5:$A$104,A482,'Registros manuales'!$B$5:$B$104,B482,'Registros manuales'!$C$5:$C$104,C482)</f>
        <v>0</v>
      </c>
    </row>
    <row r="483" spans="1:12" x14ac:dyDescent="0.3">
      <c r="A483" s="16" t="s">
        <v>29</v>
      </c>
      <c r="B483" s="16" t="s">
        <v>10</v>
      </c>
      <c r="C483" s="31">
        <v>46260</v>
      </c>
      <c r="D483" s="17">
        <v>50064.86</v>
      </c>
      <c r="E483" s="17">
        <v>0</v>
      </c>
      <c r="F483" s="17">
        <v>3783.16</v>
      </c>
      <c r="G483" s="17">
        <v>0</v>
      </c>
      <c r="H483" s="17">
        <f t="shared" si="21"/>
        <v>46281.7</v>
      </c>
      <c r="I483" s="17">
        <v>46297.120000000003</v>
      </c>
      <c r="J483" s="17">
        <f t="shared" si="22"/>
        <v>15.42000000000553</v>
      </c>
      <c r="K483" s="23">
        <f t="shared" si="23"/>
        <v>4.0759576650222385E-3</v>
      </c>
      <c r="L483" s="17">
        <f>SUMIFS('Registros manuales'!$D$5:$D$104,'Registros manuales'!$A$5:$A$104,A483,'Registros manuales'!$B$5:$B$104,B483,'Registros manuales'!$C$5:$C$104,C483)</f>
        <v>0</v>
      </c>
    </row>
    <row r="484" spans="1:12" x14ac:dyDescent="0.3">
      <c r="A484" s="16" t="s">
        <v>29</v>
      </c>
      <c r="B484" s="16" t="s">
        <v>10</v>
      </c>
      <c r="C484" s="31">
        <v>46261</v>
      </c>
      <c r="D484" s="17">
        <v>46297.120000000003</v>
      </c>
      <c r="E484" s="17">
        <v>19817</v>
      </c>
      <c r="F484" s="17">
        <v>3925.26</v>
      </c>
      <c r="G484" s="17">
        <v>0</v>
      </c>
      <c r="H484" s="17">
        <f t="shared" si="21"/>
        <v>62188.859999999993</v>
      </c>
      <c r="I484" s="17">
        <v>62145.26</v>
      </c>
      <c r="J484" s="17">
        <f t="shared" si="22"/>
        <v>-43.599999999991269</v>
      </c>
      <c r="K484" s="23">
        <f t="shared" si="23"/>
        <v>-1.1107544468389678E-2</v>
      </c>
      <c r="L484" s="17">
        <f>SUMIFS('Registros manuales'!$D$5:$D$104,'Registros manuales'!$A$5:$A$104,A484,'Registros manuales'!$B$5:$B$104,B484,'Registros manuales'!$C$5:$C$104,C484)</f>
        <v>0</v>
      </c>
    </row>
    <row r="485" spans="1:12" x14ac:dyDescent="0.3">
      <c r="A485" s="16" t="s">
        <v>29</v>
      </c>
      <c r="B485" s="16" t="s">
        <v>10</v>
      </c>
      <c r="C485" s="31">
        <v>46262</v>
      </c>
      <c r="D485" s="17">
        <v>62145.26</v>
      </c>
      <c r="E485" s="17">
        <v>0</v>
      </c>
      <c r="F485" s="17">
        <v>4005.9</v>
      </c>
      <c r="G485" s="17">
        <v>0</v>
      </c>
      <c r="H485" s="17">
        <f t="shared" si="21"/>
        <v>58139.360000000001</v>
      </c>
      <c r="I485" s="17">
        <v>58159.13</v>
      </c>
      <c r="J485" s="17">
        <f t="shared" si="22"/>
        <v>19.769999999996799</v>
      </c>
      <c r="K485" s="23">
        <f t="shared" si="23"/>
        <v>4.9352205496884091E-3</v>
      </c>
      <c r="L485" s="17">
        <f>SUMIFS('Registros manuales'!$D$5:$D$104,'Registros manuales'!$A$5:$A$104,A485,'Registros manuales'!$B$5:$B$104,B485,'Registros manuales'!$C$5:$C$104,C485)</f>
        <v>0</v>
      </c>
    </row>
    <row r="486" spans="1:12" x14ac:dyDescent="0.3">
      <c r="A486" s="16" t="s">
        <v>29</v>
      </c>
      <c r="B486" s="16" t="s">
        <v>10</v>
      </c>
      <c r="C486" s="31">
        <v>46263</v>
      </c>
      <c r="D486" s="17">
        <v>58159.13</v>
      </c>
      <c r="E486" s="17">
        <v>0</v>
      </c>
      <c r="F486" s="17">
        <v>4262.0600000000004</v>
      </c>
      <c r="G486" s="17">
        <v>0</v>
      </c>
      <c r="H486" s="17">
        <f t="shared" si="21"/>
        <v>53897.07</v>
      </c>
      <c r="I486" s="17">
        <v>53915.54</v>
      </c>
      <c r="J486" s="17">
        <f t="shared" si="22"/>
        <v>18.470000000001164</v>
      </c>
      <c r="K486" s="23">
        <f t="shared" si="23"/>
        <v>4.3335851677360621E-3</v>
      </c>
      <c r="L486" s="17">
        <f>SUMIFS('Registros manuales'!$D$5:$D$104,'Registros manuales'!$A$5:$A$104,A486,'Registros manuales'!$B$5:$B$104,B486,'Registros manuales'!$C$5:$C$104,C486)</f>
        <v>0</v>
      </c>
    </row>
    <row r="487" spans="1:12" x14ac:dyDescent="0.3">
      <c r="A487" s="16" t="s">
        <v>29</v>
      </c>
      <c r="B487" s="16" t="s">
        <v>10</v>
      </c>
      <c r="C487" s="31">
        <v>46264</v>
      </c>
      <c r="D487" s="17">
        <v>53915.54</v>
      </c>
      <c r="E487" s="17">
        <v>0</v>
      </c>
      <c r="F487" s="17">
        <v>3851.72</v>
      </c>
      <c r="G487" s="17">
        <v>0</v>
      </c>
      <c r="H487" s="17">
        <f t="shared" si="21"/>
        <v>50063.82</v>
      </c>
      <c r="I487" s="17">
        <v>50073.56</v>
      </c>
      <c r="J487" s="17">
        <f t="shared" si="22"/>
        <v>9.7399999999979627</v>
      </c>
      <c r="K487" s="23">
        <f t="shared" si="23"/>
        <v>2.5287404068826298E-3</v>
      </c>
      <c r="L487" s="17">
        <f>SUMIFS('Registros manuales'!$D$5:$D$104,'Registros manuales'!$A$5:$A$104,A487,'Registros manuales'!$B$5:$B$104,B487,'Registros manuales'!$C$5:$C$104,C487)</f>
        <v>0</v>
      </c>
    </row>
    <row r="488" spans="1:12" x14ac:dyDescent="0.3">
      <c r="A488" s="16" t="s">
        <v>29</v>
      </c>
      <c r="B488" s="16" t="s">
        <v>10</v>
      </c>
      <c r="C488" s="31">
        <v>46265</v>
      </c>
      <c r="D488" s="17">
        <v>50073.56</v>
      </c>
      <c r="E488" s="17">
        <v>0</v>
      </c>
      <c r="F488" s="17">
        <v>3105.04</v>
      </c>
      <c r="G488" s="17">
        <v>0</v>
      </c>
      <c r="H488" s="17">
        <f t="shared" si="21"/>
        <v>46968.52</v>
      </c>
      <c r="I488" s="17">
        <v>46971.99</v>
      </c>
      <c r="J488" s="17">
        <f t="shared" si="22"/>
        <v>3.4700000000011642</v>
      </c>
      <c r="K488" s="23">
        <f t="shared" si="23"/>
        <v>1.1175379383200101E-3</v>
      </c>
      <c r="L488" s="17">
        <f>SUMIFS('Registros manuales'!$D$5:$D$104,'Registros manuales'!$A$5:$A$104,A488,'Registros manuales'!$B$5:$B$104,B488,'Registros manuales'!$C$5:$C$104,C488)</f>
        <v>0</v>
      </c>
    </row>
    <row r="489" spans="1:12" x14ac:dyDescent="0.3">
      <c r="A489" s="16" t="s">
        <v>29</v>
      </c>
      <c r="B489" s="16" t="s">
        <v>11</v>
      </c>
      <c r="C489" s="31">
        <v>46235</v>
      </c>
      <c r="D489" s="17">
        <v>37371.74</v>
      </c>
      <c r="E489" s="17">
        <v>0</v>
      </c>
      <c r="F489" s="17">
        <v>1958.68</v>
      </c>
      <c r="G489" s="17">
        <v>0</v>
      </c>
      <c r="H489" s="17">
        <f t="shared" si="21"/>
        <v>35413.06</v>
      </c>
      <c r="I489" s="17">
        <v>35416.99</v>
      </c>
      <c r="J489" s="17">
        <f t="shared" si="22"/>
        <v>3.930000000000291</v>
      </c>
      <c r="K489" s="23">
        <f t="shared" si="23"/>
        <v>2.0064533257092994E-3</v>
      </c>
      <c r="L489" s="17">
        <f>SUMIFS('Registros manuales'!$D$5:$D$104,'Registros manuales'!$A$5:$A$104,A489,'Registros manuales'!$B$5:$B$104,B489,'Registros manuales'!$C$5:$C$104,C489)</f>
        <v>0</v>
      </c>
    </row>
    <row r="490" spans="1:12" x14ac:dyDescent="0.3">
      <c r="A490" s="16" t="s">
        <v>29</v>
      </c>
      <c r="B490" s="16" t="s">
        <v>11</v>
      </c>
      <c r="C490" s="31">
        <v>46236</v>
      </c>
      <c r="D490" s="17">
        <v>35416.99</v>
      </c>
      <c r="E490" s="17">
        <v>0</v>
      </c>
      <c r="F490" s="17">
        <v>2533.27</v>
      </c>
      <c r="G490" s="17">
        <v>0</v>
      </c>
      <c r="H490" s="17">
        <f t="shared" si="21"/>
        <v>32883.72</v>
      </c>
      <c r="I490" s="17">
        <v>32890.82</v>
      </c>
      <c r="J490" s="17">
        <f t="shared" si="22"/>
        <v>7.0999999999985448</v>
      </c>
      <c r="K490" s="23">
        <f t="shared" si="23"/>
        <v>2.8027016464879564E-3</v>
      </c>
      <c r="L490" s="17">
        <f>SUMIFS('Registros manuales'!$D$5:$D$104,'Registros manuales'!$A$5:$A$104,A490,'Registros manuales'!$B$5:$B$104,B490,'Registros manuales'!$C$5:$C$104,C490)</f>
        <v>0</v>
      </c>
    </row>
    <row r="491" spans="1:12" x14ac:dyDescent="0.3">
      <c r="A491" s="16" t="s">
        <v>29</v>
      </c>
      <c r="B491" s="16" t="s">
        <v>11</v>
      </c>
      <c r="C491" s="31">
        <v>46237</v>
      </c>
      <c r="D491" s="17">
        <v>32890.82</v>
      </c>
      <c r="E491" s="17">
        <v>0</v>
      </c>
      <c r="F491" s="17">
        <v>1985.49</v>
      </c>
      <c r="G491" s="17">
        <v>0</v>
      </c>
      <c r="H491" s="17">
        <f t="shared" si="21"/>
        <v>30905.329999999998</v>
      </c>
      <c r="I491" s="17">
        <v>30913.81</v>
      </c>
      <c r="J491" s="17">
        <f t="shared" si="22"/>
        <v>8.4800000000032014</v>
      </c>
      <c r="K491" s="23">
        <f t="shared" si="23"/>
        <v>4.2709860034566786E-3</v>
      </c>
      <c r="L491" s="17">
        <f>SUMIFS('Registros manuales'!$D$5:$D$104,'Registros manuales'!$A$5:$A$104,A491,'Registros manuales'!$B$5:$B$104,B491,'Registros manuales'!$C$5:$C$104,C491)</f>
        <v>0</v>
      </c>
    </row>
    <row r="492" spans="1:12" x14ac:dyDescent="0.3">
      <c r="A492" s="16" t="s">
        <v>29</v>
      </c>
      <c r="B492" s="16" t="s">
        <v>11</v>
      </c>
      <c r="C492" s="31">
        <v>46238</v>
      </c>
      <c r="D492" s="17">
        <v>30913.81</v>
      </c>
      <c r="E492" s="17">
        <v>0</v>
      </c>
      <c r="F492" s="17">
        <v>1830.52</v>
      </c>
      <c r="G492" s="17">
        <v>0</v>
      </c>
      <c r="H492" s="17">
        <f t="shared" si="21"/>
        <v>29083.29</v>
      </c>
      <c r="I492" s="17">
        <v>29074.23</v>
      </c>
      <c r="J492" s="17">
        <f t="shared" si="22"/>
        <v>-9.0600000000013097</v>
      </c>
      <c r="K492" s="23">
        <f t="shared" si="23"/>
        <v>-4.949413281472647E-3</v>
      </c>
      <c r="L492" s="17">
        <f>SUMIFS('Registros manuales'!$D$5:$D$104,'Registros manuales'!$A$5:$A$104,A492,'Registros manuales'!$B$5:$B$104,B492,'Registros manuales'!$C$5:$C$104,C492)</f>
        <v>0</v>
      </c>
    </row>
    <row r="493" spans="1:12" x14ac:dyDescent="0.3">
      <c r="A493" s="16" t="s">
        <v>29</v>
      </c>
      <c r="B493" s="16" t="s">
        <v>11</v>
      </c>
      <c r="C493" s="31">
        <v>46239</v>
      </c>
      <c r="D493" s="17">
        <v>29074.23</v>
      </c>
      <c r="E493" s="17">
        <v>0</v>
      </c>
      <c r="F493" s="17">
        <v>1243.33</v>
      </c>
      <c r="G493" s="17">
        <v>0</v>
      </c>
      <c r="H493" s="17">
        <f t="shared" si="21"/>
        <v>27830.9</v>
      </c>
      <c r="I493" s="17">
        <v>27855.08</v>
      </c>
      <c r="J493" s="17">
        <f t="shared" si="22"/>
        <v>24.180000000000291</v>
      </c>
      <c r="K493" s="23">
        <f t="shared" si="23"/>
        <v>1.9447773318427362E-2</v>
      </c>
      <c r="L493" s="17">
        <f>SUMIFS('Registros manuales'!$D$5:$D$104,'Registros manuales'!$A$5:$A$104,A493,'Registros manuales'!$B$5:$B$104,B493,'Registros manuales'!$C$5:$C$104,C493)</f>
        <v>0</v>
      </c>
    </row>
    <row r="494" spans="1:12" x14ac:dyDescent="0.3">
      <c r="A494" s="16" t="s">
        <v>29</v>
      </c>
      <c r="B494" s="16" t="s">
        <v>11</v>
      </c>
      <c r="C494" s="31">
        <v>46240</v>
      </c>
      <c r="D494" s="17">
        <v>27855.08</v>
      </c>
      <c r="E494" s="17">
        <v>0</v>
      </c>
      <c r="F494" s="17">
        <v>1419.19</v>
      </c>
      <c r="G494" s="17">
        <v>0</v>
      </c>
      <c r="H494" s="17">
        <f t="shared" si="21"/>
        <v>26435.890000000003</v>
      </c>
      <c r="I494" s="17">
        <v>26431.31</v>
      </c>
      <c r="J494" s="17">
        <f t="shared" si="22"/>
        <v>-4.5800000000017462</v>
      </c>
      <c r="K494" s="23">
        <f t="shared" si="23"/>
        <v>-3.2271929762764297E-3</v>
      </c>
      <c r="L494" s="17">
        <f>SUMIFS('Registros manuales'!$D$5:$D$104,'Registros manuales'!$A$5:$A$104,A494,'Registros manuales'!$B$5:$B$104,B494,'Registros manuales'!$C$5:$C$104,C494)</f>
        <v>0</v>
      </c>
    </row>
    <row r="495" spans="1:12" x14ac:dyDescent="0.3">
      <c r="A495" s="16" t="s">
        <v>29</v>
      </c>
      <c r="B495" s="16" t="s">
        <v>11</v>
      </c>
      <c r="C495" s="31">
        <v>46241</v>
      </c>
      <c r="D495" s="17">
        <v>26431.31</v>
      </c>
      <c r="E495" s="17">
        <v>0</v>
      </c>
      <c r="F495" s="17">
        <v>2062.48</v>
      </c>
      <c r="G495" s="17">
        <v>0</v>
      </c>
      <c r="H495" s="17">
        <f t="shared" si="21"/>
        <v>24368.83</v>
      </c>
      <c r="I495" s="17">
        <v>24389.88</v>
      </c>
      <c r="J495" s="17">
        <f t="shared" si="22"/>
        <v>21.049999999999272</v>
      </c>
      <c r="K495" s="23">
        <f t="shared" si="23"/>
        <v>1.0206159574880374E-2</v>
      </c>
      <c r="L495" s="17">
        <f>SUMIFS('Registros manuales'!$D$5:$D$104,'Registros manuales'!$A$5:$A$104,A495,'Registros manuales'!$B$5:$B$104,B495,'Registros manuales'!$C$5:$C$104,C495)</f>
        <v>0</v>
      </c>
    </row>
    <row r="496" spans="1:12" x14ac:dyDescent="0.3">
      <c r="A496" s="16" t="s">
        <v>29</v>
      </c>
      <c r="B496" s="16" t="s">
        <v>11</v>
      </c>
      <c r="C496" s="31">
        <v>46242</v>
      </c>
      <c r="D496" s="17">
        <v>24389.88</v>
      </c>
      <c r="E496" s="17">
        <v>0</v>
      </c>
      <c r="F496" s="17">
        <v>2165.1799999999998</v>
      </c>
      <c r="G496" s="17">
        <v>0</v>
      </c>
      <c r="H496" s="17">
        <f t="shared" si="21"/>
        <v>22224.7</v>
      </c>
      <c r="I496" s="17">
        <v>22242.02</v>
      </c>
      <c r="J496" s="17">
        <f t="shared" si="22"/>
        <v>17.319999999999709</v>
      </c>
      <c r="K496" s="23">
        <f t="shared" si="23"/>
        <v>7.9993349282737273E-3</v>
      </c>
      <c r="L496" s="17">
        <f>SUMIFS('Registros manuales'!$D$5:$D$104,'Registros manuales'!$A$5:$A$104,A496,'Registros manuales'!$B$5:$B$104,B496,'Registros manuales'!$C$5:$C$104,C496)</f>
        <v>0</v>
      </c>
    </row>
    <row r="497" spans="1:12" x14ac:dyDescent="0.3">
      <c r="A497" s="16" t="s">
        <v>29</v>
      </c>
      <c r="B497" s="16" t="s">
        <v>11</v>
      </c>
      <c r="C497" s="31">
        <v>46243</v>
      </c>
      <c r="D497" s="17">
        <v>22242.02</v>
      </c>
      <c r="E497" s="17">
        <v>0</v>
      </c>
      <c r="F497" s="17">
        <v>2327.0700000000002</v>
      </c>
      <c r="G497" s="17">
        <v>0</v>
      </c>
      <c r="H497" s="17">
        <f t="shared" si="21"/>
        <v>19914.95</v>
      </c>
      <c r="I497" s="17">
        <v>19932.28</v>
      </c>
      <c r="J497" s="17">
        <f t="shared" si="22"/>
        <v>17.329999999998108</v>
      </c>
      <c r="K497" s="23">
        <f t="shared" si="23"/>
        <v>7.4471330901082081E-3</v>
      </c>
      <c r="L497" s="17">
        <f>SUMIFS('Registros manuales'!$D$5:$D$104,'Registros manuales'!$A$5:$A$104,A497,'Registros manuales'!$B$5:$B$104,B497,'Registros manuales'!$C$5:$C$104,C497)</f>
        <v>0</v>
      </c>
    </row>
    <row r="498" spans="1:12" x14ac:dyDescent="0.3">
      <c r="A498" s="16" t="s">
        <v>29</v>
      </c>
      <c r="B498" s="16" t="s">
        <v>11</v>
      </c>
      <c r="C498" s="31">
        <v>46244</v>
      </c>
      <c r="D498" s="17">
        <v>19932.28</v>
      </c>
      <c r="E498" s="17">
        <v>10119</v>
      </c>
      <c r="F498" s="17">
        <v>1733.59</v>
      </c>
      <c r="G498" s="17">
        <v>0</v>
      </c>
      <c r="H498" s="17">
        <f t="shared" si="21"/>
        <v>28317.69</v>
      </c>
      <c r="I498" s="17">
        <v>28226.53</v>
      </c>
      <c r="J498" s="17">
        <f t="shared" si="22"/>
        <v>-91.159999999999854</v>
      </c>
      <c r="K498" s="23">
        <f t="shared" si="23"/>
        <v>-5.2584521138215989E-2</v>
      </c>
      <c r="L498" s="17">
        <f>SUMIFS('Registros manuales'!$D$5:$D$104,'Registros manuales'!$A$5:$A$104,A498,'Registros manuales'!$B$5:$B$104,B498,'Registros manuales'!$C$5:$C$104,C498)</f>
        <v>0</v>
      </c>
    </row>
    <row r="499" spans="1:12" x14ac:dyDescent="0.3">
      <c r="A499" s="16" t="s">
        <v>29</v>
      </c>
      <c r="B499" s="16" t="s">
        <v>11</v>
      </c>
      <c r="C499" s="31">
        <v>46245</v>
      </c>
      <c r="D499" s="17">
        <v>28226.53</v>
      </c>
      <c r="E499" s="17">
        <v>0</v>
      </c>
      <c r="F499" s="17">
        <v>1333.62</v>
      </c>
      <c r="G499" s="17">
        <v>0</v>
      </c>
      <c r="H499" s="17">
        <f t="shared" si="21"/>
        <v>26892.91</v>
      </c>
      <c r="I499" s="17">
        <v>26913.33</v>
      </c>
      <c r="J499" s="17">
        <f t="shared" si="22"/>
        <v>20.420000000001892</v>
      </c>
      <c r="K499" s="23">
        <f t="shared" si="23"/>
        <v>1.5311707982785121E-2</v>
      </c>
      <c r="L499" s="17">
        <f>SUMIFS('Registros manuales'!$D$5:$D$104,'Registros manuales'!$A$5:$A$104,A499,'Registros manuales'!$B$5:$B$104,B499,'Registros manuales'!$C$5:$C$104,C499)</f>
        <v>0</v>
      </c>
    </row>
    <row r="500" spans="1:12" x14ac:dyDescent="0.3">
      <c r="A500" s="16" t="s">
        <v>29</v>
      </c>
      <c r="B500" s="16" t="s">
        <v>11</v>
      </c>
      <c r="C500" s="31">
        <v>46246</v>
      </c>
      <c r="D500" s="17">
        <v>26913.33</v>
      </c>
      <c r="E500" s="17">
        <v>0</v>
      </c>
      <c r="F500" s="17">
        <v>1117.45</v>
      </c>
      <c r="G500" s="17">
        <v>0</v>
      </c>
      <c r="H500" s="17">
        <f t="shared" si="21"/>
        <v>25795.88</v>
      </c>
      <c r="I500" s="17">
        <v>25809.47</v>
      </c>
      <c r="J500" s="17">
        <f t="shared" si="22"/>
        <v>13.590000000000146</v>
      </c>
      <c r="K500" s="23">
        <f t="shared" si="23"/>
        <v>1.2161617969484223E-2</v>
      </c>
      <c r="L500" s="17">
        <f>SUMIFS('Registros manuales'!$D$5:$D$104,'Registros manuales'!$A$5:$A$104,A500,'Registros manuales'!$B$5:$B$104,B500,'Registros manuales'!$C$5:$C$104,C500)</f>
        <v>0</v>
      </c>
    </row>
    <row r="501" spans="1:12" x14ac:dyDescent="0.3">
      <c r="A501" s="16" t="s">
        <v>29</v>
      </c>
      <c r="B501" s="16" t="s">
        <v>11</v>
      </c>
      <c r="C501" s="31">
        <v>46247</v>
      </c>
      <c r="D501" s="17">
        <v>25809.47</v>
      </c>
      <c r="E501" s="17">
        <v>0</v>
      </c>
      <c r="F501" s="17">
        <v>1552.76</v>
      </c>
      <c r="G501" s="17">
        <v>0</v>
      </c>
      <c r="H501" s="17">
        <f t="shared" si="21"/>
        <v>24256.710000000003</v>
      </c>
      <c r="I501" s="17">
        <v>24278.97</v>
      </c>
      <c r="J501" s="17">
        <f t="shared" si="22"/>
        <v>22.259999999998399</v>
      </c>
      <c r="K501" s="23">
        <f t="shared" si="23"/>
        <v>1.4335763414821607E-2</v>
      </c>
      <c r="L501" s="17">
        <f>SUMIFS('Registros manuales'!$D$5:$D$104,'Registros manuales'!$A$5:$A$104,A501,'Registros manuales'!$B$5:$B$104,B501,'Registros manuales'!$C$5:$C$104,C501)</f>
        <v>0</v>
      </c>
    </row>
    <row r="502" spans="1:12" x14ac:dyDescent="0.3">
      <c r="A502" s="16" t="s">
        <v>29</v>
      </c>
      <c r="B502" s="16" t="s">
        <v>11</v>
      </c>
      <c r="C502" s="31">
        <v>46248</v>
      </c>
      <c r="D502" s="17">
        <v>24278.97</v>
      </c>
      <c r="E502" s="17">
        <v>0</v>
      </c>
      <c r="F502" s="17">
        <v>1455.29</v>
      </c>
      <c r="G502" s="17">
        <v>0</v>
      </c>
      <c r="H502" s="17">
        <f t="shared" si="21"/>
        <v>22823.68</v>
      </c>
      <c r="I502" s="17">
        <v>22834.69</v>
      </c>
      <c r="J502" s="17">
        <f t="shared" si="22"/>
        <v>11.009999999998399</v>
      </c>
      <c r="K502" s="23">
        <f t="shared" si="23"/>
        <v>7.5655024084535722E-3</v>
      </c>
      <c r="L502" s="17">
        <f>SUMIFS('Registros manuales'!$D$5:$D$104,'Registros manuales'!$A$5:$A$104,A502,'Registros manuales'!$B$5:$B$104,B502,'Registros manuales'!$C$5:$C$104,C502)</f>
        <v>0</v>
      </c>
    </row>
    <row r="503" spans="1:12" x14ac:dyDescent="0.3">
      <c r="A503" s="16" t="s">
        <v>29</v>
      </c>
      <c r="B503" s="16" t="s">
        <v>11</v>
      </c>
      <c r="C503" s="31">
        <v>46249</v>
      </c>
      <c r="D503" s="17">
        <v>22834.69</v>
      </c>
      <c r="E503" s="17">
        <v>0</v>
      </c>
      <c r="F503" s="17">
        <v>1601</v>
      </c>
      <c r="G503" s="17">
        <v>0</v>
      </c>
      <c r="H503" s="17">
        <f t="shared" si="21"/>
        <v>21233.69</v>
      </c>
      <c r="I503" s="17">
        <v>21252.22</v>
      </c>
      <c r="J503" s="17">
        <f t="shared" si="22"/>
        <v>18.530000000002474</v>
      </c>
      <c r="K503" s="23">
        <f t="shared" si="23"/>
        <v>1.1574016239851638E-2</v>
      </c>
      <c r="L503" s="17">
        <f>SUMIFS('Registros manuales'!$D$5:$D$104,'Registros manuales'!$A$5:$A$104,A503,'Registros manuales'!$B$5:$B$104,B503,'Registros manuales'!$C$5:$C$104,C503)</f>
        <v>0</v>
      </c>
    </row>
    <row r="504" spans="1:12" x14ac:dyDescent="0.3">
      <c r="A504" s="16" t="s">
        <v>29</v>
      </c>
      <c r="B504" s="16" t="s">
        <v>11</v>
      </c>
      <c r="C504" s="31">
        <v>46250</v>
      </c>
      <c r="D504" s="17">
        <v>21252.22</v>
      </c>
      <c r="E504" s="17">
        <v>0</v>
      </c>
      <c r="F504" s="17">
        <v>3010.42</v>
      </c>
      <c r="G504" s="17">
        <v>0</v>
      </c>
      <c r="H504" s="17">
        <f t="shared" si="21"/>
        <v>18241.800000000003</v>
      </c>
      <c r="I504" s="17">
        <v>18282.759999999998</v>
      </c>
      <c r="J504" s="17">
        <f t="shared" si="22"/>
        <v>40.959999999995489</v>
      </c>
      <c r="K504" s="23">
        <f t="shared" si="23"/>
        <v>1.3606074899846363E-2</v>
      </c>
      <c r="L504" s="17">
        <f>SUMIFS('Registros manuales'!$D$5:$D$104,'Registros manuales'!$A$5:$A$104,A504,'Registros manuales'!$B$5:$B$104,B504,'Registros manuales'!$C$5:$C$104,C504)</f>
        <v>0</v>
      </c>
    </row>
    <row r="505" spans="1:12" x14ac:dyDescent="0.3">
      <c r="A505" s="16" t="s">
        <v>29</v>
      </c>
      <c r="B505" s="16" t="s">
        <v>11</v>
      </c>
      <c r="C505" s="31">
        <v>46251</v>
      </c>
      <c r="D505" s="17">
        <v>18282.759999999998</v>
      </c>
      <c r="E505" s="17">
        <v>10125</v>
      </c>
      <c r="F505" s="17">
        <v>2182.21</v>
      </c>
      <c r="G505" s="17">
        <v>0</v>
      </c>
      <c r="H505" s="17">
        <f t="shared" si="21"/>
        <v>26225.55</v>
      </c>
      <c r="I505" s="17">
        <v>26045.96</v>
      </c>
      <c r="J505" s="17">
        <f t="shared" si="22"/>
        <v>-179.59000000000015</v>
      </c>
      <c r="K505" s="23">
        <f t="shared" si="23"/>
        <v>-8.2297304109137132E-2</v>
      </c>
      <c r="L505" s="17">
        <f>SUMIFS('Registros manuales'!$D$5:$D$104,'Registros manuales'!$A$5:$A$104,A505,'Registros manuales'!$B$5:$B$104,B505,'Registros manuales'!$C$5:$C$104,C505)</f>
        <v>0</v>
      </c>
    </row>
    <row r="506" spans="1:12" x14ac:dyDescent="0.3">
      <c r="A506" s="16" t="s">
        <v>29</v>
      </c>
      <c r="B506" s="16" t="s">
        <v>11</v>
      </c>
      <c r="C506" s="31">
        <v>46252</v>
      </c>
      <c r="D506" s="17">
        <v>26045.96</v>
      </c>
      <c r="E506" s="17">
        <v>0</v>
      </c>
      <c r="F506" s="17">
        <v>1368.41</v>
      </c>
      <c r="G506" s="17">
        <v>0</v>
      </c>
      <c r="H506" s="17">
        <f t="shared" si="21"/>
        <v>24677.55</v>
      </c>
      <c r="I506" s="17">
        <v>24697.91</v>
      </c>
      <c r="J506" s="17">
        <f t="shared" si="22"/>
        <v>20.360000000000582</v>
      </c>
      <c r="K506" s="23">
        <f t="shared" si="23"/>
        <v>1.4878581711621942E-2</v>
      </c>
      <c r="L506" s="17">
        <f>SUMIFS('Registros manuales'!$D$5:$D$104,'Registros manuales'!$A$5:$A$104,A506,'Registros manuales'!$B$5:$B$104,B506,'Registros manuales'!$C$5:$C$104,C506)</f>
        <v>0</v>
      </c>
    </row>
    <row r="507" spans="1:12" x14ac:dyDescent="0.3">
      <c r="A507" s="16" t="s">
        <v>29</v>
      </c>
      <c r="B507" s="16" t="s">
        <v>11</v>
      </c>
      <c r="C507" s="31">
        <v>46253</v>
      </c>
      <c r="D507" s="17">
        <v>24697.91</v>
      </c>
      <c r="E507" s="17">
        <v>0</v>
      </c>
      <c r="F507" s="17">
        <v>1599.92</v>
      </c>
      <c r="G507" s="17">
        <v>0</v>
      </c>
      <c r="H507" s="17">
        <f t="shared" si="21"/>
        <v>23097.989999999998</v>
      </c>
      <c r="I507" s="17">
        <v>23114.34</v>
      </c>
      <c r="J507" s="17">
        <f t="shared" si="22"/>
        <v>16.350000000002183</v>
      </c>
      <c r="K507" s="23">
        <f t="shared" si="23"/>
        <v>1.0219260963049516E-2</v>
      </c>
      <c r="L507" s="17">
        <f>SUMIFS('Registros manuales'!$D$5:$D$104,'Registros manuales'!$A$5:$A$104,A507,'Registros manuales'!$B$5:$B$104,B507,'Registros manuales'!$C$5:$C$104,C507)</f>
        <v>0</v>
      </c>
    </row>
    <row r="508" spans="1:12" x14ac:dyDescent="0.3">
      <c r="A508" s="16" t="s">
        <v>29</v>
      </c>
      <c r="B508" s="16" t="s">
        <v>11</v>
      </c>
      <c r="C508" s="31">
        <v>46254</v>
      </c>
      <c r="D508" s="17">
        <v>23114.34</v>
      </c>
      <c r="E508" s="17">
        <v>0</v>
      </c>
      <c r="F508" s="17">
        <v>1711.93</v>
      </c>
      <c r="G508" s="17">
        <v>0</v>
      </c>
      <c r="H508" s="17">
        <f t="shared" si="21"/>
        <v>21402.41</v>
      </c>
      <c r="I508" s="17">
        <v>23453.5</v>
      </c>
      <c r="J508" s="17">
        <f t="shared" si="22"/>
        <v>2051.09</v>
      </c>
      <c r="K508" s="23">
        <f t="shared" si="23"/>
        <v>1.198115577155608</v>
      </c>
      <c r="L508" s="17">
        <f>SUMIFS('Registros manuales'!$D$5:$D$104,'Registros manuales'!$A$5:$A$104,A508,'Registros manuales'!$B$5:$B$104,B508,'Registros manuales'!$C$5:$C$104,C508)</f>
        <v>0</v>
      </c>
    </row>
    <row r="509" spans="1:12" x14ac:dyDescent="0.3">
      <c r="A509" s="16" t="s">
        <v>29</v>
      </c>
      <c r="B509" s="16" t="s">
        <v>11</v>
      </c>
      <c r="C509" s="31">
        <v>46255</v>
      </c>
      <c r="D509" s="17">
        <v>23453.5</v>
      </c>
      <c r="E509" s="17">
        <v>0</v>
      </c>
      <c r="F509" s="17">
        <v>1758</v>
      </c>
      <c r="G509" s="17">
        <v>0</v>
      </c>
      <c r="H509" s="17">
        <f t="shared" si="21"/>
        <v>21695.5</v>
      </c>
      <c r="I509" s="17">
        <v>21680.27</v>
      </c>
      <c r="J509" s="17">
        <f t="shared" si="22"/>
        <v>-15.229999999999563</v>
      </c>
      <c r="K509" s="23">
        <f t="shared" si="23"/>
        <v>-8.6632536973831418E-3</v>
      </c>
      <c r="L509" s="17">
        <f>SUMIFS('Registros manuales'!$D$5:$D$104,'Registros manuales'!$A$5:$A$104,A509,'Registros manuales'!$B$5:$B$104,B509,'Registros manuales'!$C$5:$C$104,C509)</f>
        <v>0</v>
      </c>
    </row>
    <row r="510" spans="1:12" x14ac:dyDescent="0.3">
      <c r="A510" s="16" t="s">
        <v>29</v>
      </c>
      <c r="B510" s="16" t="s">
        <v>11</v>
      </c>
      <c r="C510" s="31">
        <v>46256</v>
      </c>
      <c r="D510" s="17">
        <v>21680.27</v>
      </c>
      <c r="E510" s="17">
        <v>0</v>
      </c>
      <c r="F510" s="17">
        <v>1552.42</v>
      </c>
      <c r="G510" s="17">
        <v>0</v>
      </c>
      <c r="H510" s="17">
        <f t="shared" si="21"/>
        <v>20127.849999999999</v>
      </c>
      <c r="I510" s="17">
        <v>20119.080000000002</v>
      </c>
      <c r="J510" s="17">
        <f t="shared" si="22"/>
        <v>-8.7699999999967986</v>
      </c>
      <c r="K510" s="23">
        <f t="shared" si="23"/>
        <v>-5.6492444055067561E-3</v>
      </c>
      <c r="L510" s="17">
        <f>SUMIFS('Registros manuales'!$D$5:$D$104,'Registros manuales'!$A$5:$A$104,A510,'Registros manuales'!$B$5:$B$104,B510,'Registros manuales'!$C$5:$C$104,C510)</f>
        <v>0</v>
      </c>
    </row>
    <row r="511" spans="1:12" x14ac:dyDescent="0.3">
      <c r="A511" s="16" t="s">
        <v>29</v>
      </c>
      <c r="B511" s="16" t="s">
        <v>11</v>
      </c>
      <c r="C511" s="31">
        <v>46257</v>
      </c>
      <c r="D511" s="17">
        <v>20119.080000000002</v>
      </c>
      <c r="E511" s="17">
        <v>0</v>
      </c>
      <c r="F511" s="17">
        <v>1839.5</v>
      </c>
      <c r="G511" s="17">
        <v>0</v>
      </c>
      <c r="H511" s="17">
        <f t="shared" si="21"/>
        <v>18279.580000000002</v>
      </c>
      <c r="I511" s="17">
        <v>18257.830000000002</v>
      </c>
      <c r="J511" s="17">
        <f t="shared" si="22"/>
        <v>-21.75</v>
      </c>
      <c r="K511" s="23">
        <f t="shared" si="23"/>
        <v>-1.1823865180755641E-2</v>
      </c>
      <c r="L511" s="17">
        <f>SUMIFS('Registros manuales'!$D$5:$D$104,'Registros manuales'!$A$5:$A$104,A511,'Registros manuales'!$B$5:$B$104,B511,'Registros manuales'!$C$5:$C$104,C511)</f>
        <v>0</v>
      </c>
    </row>
    <row r="512" spans="1:12" x14ac:dyDescent="0.3">
      <c r="A512" s="16" t="s">
        <v>29</v>
      </c>
      <c r="B512" s="16" t="s">
        <v>11</v>
      </c>
      <c r="C512" s="31">
        <v>46258</v>
      </c>
      <c r="D512" s="17">
        <v>18257.830000000002</v>
      </c>
      <c r="E512" s="17">
        <v>0</v>
      </c>
      <c r="F512" s="17">
        <v>1366.17</v>
      </c>
      <c r="G512" s="17">
        <v>0</v>
      </c>
      <c r="H512" s="17">
        <f t="shared" si="21"/>
        <v>16891.660000000003</v>
      </c>
      <c r="I512" s="17">
        <v>16877.63</v>
      </c>
      <c r="J512" s="17">
        <f t="shared" si="22"/>
        <v>-14.030000000002474</v>
      </c>
      <c r="K512" s="23">
        <f t="shared" si="23"/>
        <v>-1.0269585776296122E-2</v>
      </c>
      <c r="L512" s="17">
        <f>SUMIFS('Registros manuales'!$D$5:$D$104,'Registros manuales'!$A$5:$A$104,A512,'Registros manuales'!$B$5:$B$104,B512,'Registros manuales'!$C$5:$C$104,C512)</f>
        <v>0</v>
      </c>
    </row>
    <row r="513" spans="1:12" x14ac:dyDescent="0.3">
      <c r="A513" s="16" t="s">
        <v>29</v>
      </c>
      <c r="B513" s="16" t="s">
        <v>11</v>
      </c>
      <c r="C513" s="31">
        <v>46259</v>
      </c>
      <c r="D513" s="17">
        <v>16877.63</v>
      </c>
      <c r="E513" s="17">
        <v>0</v>
      </c>
      <c r="F513" s="17">
        <v>1117.1400000000001</v>
      </c>
      <c r="G513" s="17">
        <v>0</v>
      </c>
      <c r="H513" s="17">
        <f t="shared" si="21"/>
        <v>15760.490000000002</v>
      </c>
      <c r="I513" s="17">
        <v>15745.87</v>
      </c>
      <c r="J513" s="17">
        <f t="shared" si="22"/>
        <v>-14.6200000000008</v>
      </c>
      <c r="K513" s="23">
        <f t="shared" si="23"/>
        <v>-1.3086989992302485E-2</v>
      </c>
      <c r="L513" s="17">
        <f>SUMIFS('Registros manuales'!$D$5:$D$104,'Registros manuales'!$A$5:$A$104,A513,'Registros manuales'!$B$5:$B$104,B513,'Registros manuales'!$C$5:$C$104,C513)</f>
        <v>0</v>
      </c>
    </row>
    <row r="514" spans="1:12" x14ac:dyDescent="0.3">
      <c r="A514" s="16" t="s">
        <v>29</v>
      </c>
      <c r="B514" s="16" t="s">
        <v>11</v>
      </c>
      <c r="C514" s="31">
        <v>46260</v>
      </c>
      <c r="D514" s="17">
        <v>15745.87</v>
      </c>
      <c r="E514" s="17">
        <v>0</v>
      </c>
      <c r="F514" s="17">
        <v>1816.82</v>
      </c>
      <c r="G514" s="17">
        <v>0</v>
      </c>
      <c r="H514" s="17">
        <f t="shared" si="21"/>
        <v>13929.050000000001</v>
      </c>
      <c r="I514" s="17">
        <v>13902.94</v>
      </c>
      <c r="J514" s="17">
        <f t="shared" si="22"/>
        <v>-26.110000000000582</v>
      </c>
      <c r="K514" s="23">
        <f t="shared" si="23"/>
        <v>-1.4371264076793839E-2</v>
      </c>
      <c r="L514" s="17">
        <f>SUMIFS('Registros manuales'!$D$5:$D$104,'Registros manuales'!$A$5:$A$104,A514,'Registros manuales'!$B$5:$B$104,B514,'Registros manuales'!$C$5:$C$104,C514)</f>
        <v>0</v>
      </c>
    </row>
    <row r="515" spans="1:12" x14ac:dyDescent="0.3">
      <c r="A515" s="16" t="s">
        <v>29</v>
      </c>
      <c r="B515" s="16" t="s">
        <v>11</v>
      </c>
      <c r="C515" s="31">
        <v>46261</v>
      </c>
      <c r="D515" s="17">
        <v>13902.94</v>
      </c>
      <c r="E515" s="17">
        <v>10070</v>
      </c>
      <c r="F515" s="17">
        <v>1973.57</v>
      </c>
      <c r="G515" s="17">
        <v>0</v>
      </c>
      <c r="H515" s="17">
        <f t="shared" si="21"/>
        <v>21999.370000000003</v>
      </c>
      <c r="I515" s="17">
        <v>22018.63</v>
      </c>
      <c r="J515" s="17">
        <f t="shared" si="22"/>
        <v>19.259999999998399</v>
      </c>
      <c r="K515" s="23">
        <f t="shared" si="23"/>
        <v>9.7589647187575814E-3</v>
      </c>
      <c r="L515" s="17">
        <f>SUMIFS('Registros manuales'!$D$5:$D$104,'Registros manuales'!$A$5:$A$104,A515,'Registros manuales'!$B$5:$B$104,B515,'Registros manuales'!$C$5:$C$104,C515)</f>
        <v>0</v>
      </c>
    </row>
    <row r="516" spans="1:12" x14ac:dyDescent="0.3">
      <c r="A516" s="16" t="s">
        <v>29</v>
      </c>
      <c r="B516" s="16" t="s">
        <v>11</v>
      </c>
      <c r="C516" s="31">
        <v>46262</v>
      </c>
      <c r="D516" s="17">
        <v>22018.63</v>
      </c>
      <c r="E516" s="17">
        <v>0</v>
      </c>
      <c r="F516" s="17">
        <v>1467.26</v>
      </c>
      <c r="G516" s="17">
        <v>0</v>
      </c>
      <c r="H516" s="17">
        <f t="shared" si="21"/>
        <v>20551.370000000003</v>
      </c>
      <c r="I516" s="17">
        <v>20548.25</v>
      </c>
      <c r="J516" s="17">
        <f t="shared" si="22"/>
        <v>-3.1200000000026193</v>
      </c>
      <c r="K516" s="23">
        <f t="shared" si="23"/>
        <v>-2.1264124967644584E-3</v>
      </c>
      <c r="L516" s="17">
        <f>SUMIFS('Registros manuales'!$D$5:$D$104,'Registros manuales'!$A$5:$A$104,A516,'Registros manuales'!$B$5:$B$104,B516,'Registros manuales'!$C$5:$C$104,C516)</f>
        <v>0</v>
      </c>
    </row>
    <row r="517" spans="1:12" x14ac:dyDescent="0.3">
      <c r="A517" s="16" t="s">
        <v>29</v>
      </c>
      <c r="B517" s="16" t="s">
        <v>11</v>
      </c>
      <c r="C517" s="31">
        <v>46263</v>
      </c>
      <c r="D517" s="17">
        <v>20548.25</v>
      </c>
      <c r="E517" s="17">
        <v>0</v>
      </c>
      <c r="F517" s="17">
        <v>1649.78</v>
      </c>
      <c r="G517" s="17">
        <v>0</v>
      </c>
      <c r="H517" s="17">
        <f t="shared" ref="H517:H580" si="24">D517+E517+L517-F517+G517</f>
        <v>18898.47</v>
      </c>
      <c r="I517" s="17">
        <v>18879.43</v>
      </c>
      <c r="J517" s="17">
        <f t="shared" ref="J517:J580" si="25">I517-H517</f>
        <v>-19.040000000000873</v>
      </c>
      <c r="K517" s="23">
        <f t="shared" ref="K517:K580" si="26">IF(F517=0,0,J517/F517)</f>
        <v>-1.1540932730425193E-2</v>
      </c>
      <c r="L517" s="17">
        <f>SUMIFS('Registros manuales'!$D$5:$D$104,'Registros manuales'!$A$5:$A$104,A517,'Registros manuales'!$B$5:$B$104,B517,'Registros manuales'!$C$5:$C$104,C517)</f>
        <v>0</v>
      </c>
    </row>
    <row r="518" spans="1:12" x14ac:dyDescent="0.3">
      <c r="A518" s="16" t="s">
        <v>29</v>
      </c>
      <c r="B518" s="16" t="s">
        <v>11</v>
      </c>
      <c r="C518" s="31">
        <v>46264</v>
      </c>
      <c r="D518" s="17">
        <v>18879.43</v>
      </c>
      <c r="E518" s="17">
        <v>0</v>
      </c>
      <c r="F518" s="17">
        <v>1801.31</v>
      </c>
      <c r="G518" s="17">
        <v>0</v>
      </c>
      <c r="H518" s="17">
        <f t="shared" si="24"/>
        <v>17078.12</v>
      </c>
      <c r="I518" s="17">
        <v>17059.91</v>
      </c>
      <c r="J518" s="17">
        <f t="shared" si="25"/>
        <v>-18.209999999999127</v>
      </c>
      <c r="K518" s="23">
        <f t="shared" si="26"/>
        <v>-1.0109309335982771E-2</v>
      </c>
      <c r="L518" s="17">
        <f>SUMIFS('Registros manuales'!$D$5:$D$104,'Registros manuales'!$A$5:$A$104,A518,'Registros manuales'!$B$5:$B$104,B518,'Registros manuales'!$C$5:$C$104,C518)</f>
        <v>0</v>
      </c>
    </row>
    <row r="519" spans="1:12" x14ac:dyDescent="0.3">
      <c r="A519" s="16" t="s">
        <v>29</v>
      </c>
      <c r="B519" s="16" t="s">
        <v>11</v>
      </c>
      <c r="C519" s="31">
        <v>46265</v>
      </c>
      <c r="D519" s="17">
        <v>17059.91</v>
      </c>
      <c r="E519" s="17">
        <v>0</v>
      </c>
      <c r="F519" s="17">
        <v>1283.97</v>
      </c>
      <c r="G519" s="17">
        <v>0</v>
      </c>
      <c r="H519" s="17">
        <f t="shared" si="24"/>
        <v>15775.94</v>
      </c>
      <c r="I519" s="17">
        <v>15762.24</v>
      </c>
      <c r="J519" s="17">
        <f t="shared" si="25"/>
        <v>-13.700000000000728</v>
      </c>
      <c r="K519" s="23">
        <f t="shared" si="26"/>
        <v>-1.0670031231259864E-2</v>
      </c>
      <c r="L519" s="17">
        <f>SUMIFS('Registros manuales'!$D$5:$D$104,'Registros manuales'!$A$5:$A$104,A519,'Registros manuales'!$B$5:$B$104,B519,'Registros manuales'!$C$5:$C$104,C519)</f>
        <v>0</v>
      </c>
    </row>
    <row r="520" spans="1:12" x14ac:dyDescent="0.3">
      <c r="A520" s="16" t="s">
        <v>29</v>
      </c>
      <c r="B520" s="16" t="s">
        <v>12</v>
      </c>
      <c r="C520" s="31">
        <v>46235</v>
      </c>
      <c r="D520" s="17">
        <v>60935.26</v>
      </c>
      <c r="E520" s="17">
        <v>0</v>
      </c>
      <c r="F520" s="17">
        <v>7378.61</v>
      </c>
      <c r="G520" s="17">
        <v>0</v>
      </c>
      <c r="H520" s="17">
        <f t="shared" si="24"/>
        <v>53556.65</v>
      </c>
      <c r="I520" s="17">
        <v>53541.98</v>
      </c>
      <c r="J520" s="17">
        <f t="shared" si="25"/>
        <v>-14.669999999998254</v>
      </c>
      <c r="K520" s="23">
        <f t="shared" si="26"/>
        <v>-1.9881793454320333E-3</v>
      </c>
      <c r="L520" s="17">
        <f>SUMIFS('Registros manuales'!$D$5:$D$104,'Registros manuales'!$A$5:$A$104,A520,'Registros manuales'!$B$5:$B$104,B520,'Registros manuales'!$C$5:$C$104,C520)</f>
        <v>0</v>
      </c>
    </row>
    <row r="521" spans="1:12" x14ac:dyDescent="0.3">
      <c r="A521" s="16" t="s">
        <v>29</v>
      </c>
      <c r="B521" s="16" t="s">
        <v>12</v>
      </c>
      <c r="C521" s="31">
        <v>46236</v>
      </c>
      <c r="D521" s="17">
        <v>53541.98</v>
      </c>
      <c r="E521" s="17">
        <v>0</v>
      </c>
      <c r="F521" s="17">
        <v>3226.69</v>
      </c>
      <c r="G521" s="17">
        <v>0</v>
      </c>
      <c r="H521" s="17">
        <f t="shared" si="24"/>
        <v>50315.29</v>
      </c>
      <c r="I521" s="17">
        <v>50312.91</v>
      </c>
      <c r="J521" s="17">
        <f t="shared" si="25"/>
        <v>-2.3799999999973807</v>
      </c>
      <c r="K521" s="23">
        <f t="shared" si="26"/>
        <v>-7.3759797191468056E-4</v>
      </c>
      <c r="L521" s="17">
        <f>SUMIFS('Registros manuales'!$D$5:$D$104,'Registros manuales'!$A$5:$A$104,A521,'Registros manuales'!$B$5:$B$104,B521,'Registros manuales'!$C$5:$C$104,C521)</f>
        <v>0</v>
      </c>
    </row>
    <row r="522" spans="1:12" x14ac:dyDescent="0.3">
      <c r="A522" s="16" t="s">
        <v>29</v>
      </c>
      <c r="B522" s="16" t="s">
        <v>12</v>
      </c>
      <c r="C522" s="31">
        <v>46237</v>
      </c>
      <c r="D522" s="17">
        <v>50312.91</v>
      </c>
      <c r="E522" s="17">
        <v>0</v>
      </c>
      <c r="F522" s="17">
        <v>6620.51</v>
      </c>
      <c r="G522" s="17">
        <v>0</v>
      </c>
      <c r="H522" s="17">
        <f t="shared" si="24"/>
        <v>43692.4</v>
      </c>
      <c r="I522" s="17">
        <v>43711</v>
      </c>
      <c r="J522" s="17">
        <f t="shared" si="25"/>
        <v>18.599999999998545</v>
      </c>
      <c r="K522" s="23">
        <f t="shared" si="26"/>
        <v>2.8094512356296635E-3</v>
      </c>
      <c r="L522" s="17">
        <f>SUMIFS('Registros manuales'!$D$5:$D$104,'Registros manuales'!$A$5:$A$104,A522,'Registros manuales'!$B$5:$B$104,B522,'Registros manuales'!$C$5:$C$104,C522)</f>
        <v>0</v>
      </c>
    </row>
    <row r="523" spans="1:12" x14ac:dyDescent="0.3">
      <c r="A523" s="16" t="s">
        <v>29</v>
      </c>
      <c r="B523" s="16" t="s">
        <v>12</v>
      </c>
      <c r="C523" s="31">
        <v>46238</v>
      </c>
      <c r="D523" s="17">
        <v>43711</v>
      </c>
      <c r="E523" s="17">
        <v>0</v>
      </c>
      <c r="F523" s="17">
        <v>4380.57</v>
      </c>
      <c r="G523" s="17">
        <v>0</v>
      </c>
      <c r="H523" s="17">
        <f t="shared" si="24"/>
        <v>39330.43</v>
      </c>
      <c r="I523" s="17">
        <v>39353.760000000002</v>
      </c>
      <c r="J523" s="17">
        <f t="shared" si="25"/>
        <v>23.330000000001746</v>
      </c>
      <c r="K523" s="23">
        <f t="shared" si="26"/>
        <v>5.3257909358831726E-3</v>
      </c>
      <c r="L523" s="17">
        <f>SUMIFS('Registros manuales'!$D$5:$D$104,'Registros manuales'!$A$5:$A$104,A523,'Registros manuales'!$B$5:$B$104,B523,'Registros manuales'!$C$5:$C$104,C523)</f>
        <v>0</v>
      </c>
    </row>
    <row r="524" spans="1:12" x14ac:dyDescent="0.3">
      <c r="A524" s="16" t="s">
        <v>29</v>
      </c>
      <c r="B524" s="16" t="s">
        <v>12</v>
      </c>
      <c r="C524" s="31">
        <v>46239</v>
      </c>
      <c r="D524" s="17">
        <v>39353.760000000002</v>
      </c>
      <c r="E524" s="17">
        <v>0</v>
      </c>
      <c r="F524" s="17">
        <v>7862.98</v>
      </c>
      <c r="G524" s="17">
        <v>0</v>
      </c>
      <c r="H524" s="17">
        <f t="shared" si="24"/>
        <v>31490.780000000002</v>
      </c>
      <c r="I524" s="17">
        <v>31553.89</v>
      </c>
      <c r="J524" s="17">
        <f t="shared" si="25"/>
        <v>63.109999999996944</v>
      </c>
      <c r="K524" s="23">
        <f t="shared" si="26"/>
        <v>8.0262190670708743E-3</v>
      </c>
      <c r="L524" s="17">
        <f>SUMIFS('Registros manuales'!$D$5:$D$104,'Registros manuales'!$A$5:$A$104,A524,'Registros manuales'!$B$5:$B$104,B524,'Registros manuales'!$C$5:$C$104,C524)</f>
        <v>0</v>
      </c>
    </row>
    <row r="525" spans="1:12" x14ac:dyDescent="0.3">
      <c r="A525" s="16" t="s">
        <v>29</v>
      </c>
      <c r="B525" s="16" t="s">
        <v>12</v>
      </c>
      <c r="C525" s="31">
        <v>46240</v>
      </c>
      <c r="D525" s="17">
        <v>31553.89</v>
      </c>
      <c r="E525" s="17">
        <v>10063</v>
      </c>
      <c r="F525" s="17">
        <v>5335.75</v>
      </c>
      <c r="G525" s="17">
        <v>0</v>
      </c>
      <c r="H525" s="17">
        <f t="shared" si="24"/>
        <v>36281.14</v>
      </c>
      <c r="I525" s="17">
        <v>36189.17</v>
      </c>
      <c r="J525" s="17">
        <f t="shared" si="25"/>
        <v>-91.970000000001164</v>
      </c>
      <c r="K525" s="23">
        <f t="shared" si="26"/>
        <v>-1.7236564681628857E-2</v>
      </c>
      <c r="L525" s="17">
        <f>SUMIFS('Registros manuales'!$D$5:$D$104,'Registros manuales'!$A$5:$A$104,A525,'Registros manuales'!$B$5:$B$104,B525,'Registros manuales'!$C$5:$C$104,C525)</f>
        <v>0</v>
      </c>
    </row>
    <row r="526" spans="1:12" x14ac:dyDescent="0.3">
      <c r="A526" s="16" t="s">
        <v>29</v>
      </c>
      <c r="B526" s="16" t="s">
        <v>12</v>
      </c>
      <c r="C526" s="31">
        <v>46241</v>
      </c>
      <c r="D526" s="17">
        <v>36189.17</v>
      </c>
      <c r="E526" s="17">
        <v>0</v>
      </c>
      <c r="F526" s="17">
        <v>8858.85</v>
      </c>
      <c r="G526" s="17">
        <v>0</v>
      </c>
      <c r="H526" s="17">
        <f t="shared" si="24"/>
        <v>27330.32</v>
      </c>
      <c r="I526" s="17">
        <v>27368.65</v>
      </c>
      <c r="J526" s="17">
        <f t="shared" si="25"/>
        <v>38.330000000001746</v>
      </c>
      <c r="K526" s="23">
        <f t="shared" si="26"/>
        <v>4.3267466996282523E-3</v>
      </c>
      <c r="L526" s="17">
        <f>SUMIFS('Registros manuales'!$D$5:$D$104,'Registros manuales'!$A$5:$A$104,A526,'Registros manuales'!$B$5:$B$104,B526,'Registros manuales'!$C$5:$C$104,C526)</f>
        <v>0</v>
      </c>
    </row>
    <row r="527" spans="1:12" x14ac:dyDescent="0.3">
      <c r="A527" s="16" t="s">
        <v>29</v>
      </c>
      <c r="B527" s="16" t="s">
        <v>12</v>
      </c>
      <c r="C527" s="31">
        <v>46242</v>
      </c>
      <c r="D527" s="17">
        <v>27368.65</v>
      </c>
      <c r="E527" s="17">
        <v>0</v>
      </c>
      <c r="F527" s="17">
        <v>7124.84</v>
      </c>
      <c r="G527" s="17">
        <v>0</v>
      </c>
      <c r="H527" s="17">
        <f t="shared" si="24"/>
        <v>20243.810000000001</v>
      </c>
      <c r="I527" s="17">
        <v>20414.22</v>
      </c>
      <c r="J527" s="17">
        <f t="shared" si="25"/>
        <v>170.40999999999985</v>
      </c>
      <c r="K527" s="23">
        <f t="shared" si="26"/>
        <v>2.3917730082359725E-2</v>
      </c>
      <c r="L527" s="17">
        <f>SUMIFS('Registros manuales'!$D$5:$D$104,'Registros manuales'!$A$5:$A$104,A527,'Registros manuales'!$B$5:$B$104,B527,'Registros manuales'!$C$5:$C$104,C527)</f>
        <v>0</v>
      </c>
    </row>
    <row r="528" spans="1:12" x14ac:dyDescent="0.3">
      <c r="A528" s="16" t="s">
        <v>29</v>
      </c>
      <c r="B528" s="16" t="s">
        <v>12</v>
      </c>
      <c r="C528" s="31">
        <v>46243</v>
      </c>
      <c r="D528" s="17">
        <v>20414.22</v>
      </c>
      <c r="E528" s="17">
        <v>0</v>
      </c>
      <c r="F528" s="17">
        <v>5894.42</v>
      </c>
      <c r="G528" s="17">
        <v>0</v>
      </c>
      <c r="H528" s="17">
        <f t="shared" si="24"/>
        <v>14519.800000000001</v>
      </c>
      <c r="I528" s="17">
        <v>14655.27</v>
      </c>
      <c r="J528" s="17">
        <f t="shared" si="25"/>
        <v>135.46999999999935</v>
      </c>
      <c r="K528" s="23">
        <f t="shared" si="26"/>
        <v>2.2982753180126176E-2</v>
      </c>
      <c r="L528" s="17">
        <f>SUMIFS('Registros manuales'!$D$5:$D$104,'Registros manuales'!$A$5:$A$104,A528,'Registros manuales'!$B$5:$B$104,B528,'Registros manuales'!$C$5:$C$104,C528)</f>
        <v>0</v>
      </c>
    </row>
    <row r="529" spans="1:12" x14ac:dyDescent="0.3">
      <c r="A529" s="16" t="s">
        <v>29</v>
      </c>
      <c r="B529" s="16" t="s">
        <v>12</v>
      </c>
      <c r="C529" s="31">
        <v>46244</v>
      </c>
      <c r="D529" s="17">
        <v>14655.27</v>
      </c>
      <c r="E529" s="17">
        <v>19848</v>
      </c>
      <c r="F529" s="17">
        <v>6423.51</v>
      </c>
      <c r="G529" s="17">
        <v>0</v>
      </c>
      <c r="H529" s="17">
        <f t="shared" si="24"/>
        <v>28079.760000000002</v>
      </c>
      <c r="I529" s="17">
        <v>27910.53</v>
      </c>
      <c r="J529" s="17">
        <f t="shared" si="25"/>
        <v>-169.2300000000032</v>
      </c>
      <c r="K529" s="23">
        <f t="shared" si="26"/>
        <v>-2.6345409285578009E-2</v>
      </c>
      <c r="L529" s="17">
        <f>SUMIFS('Registros manuales'!$D$5:$D$104,'Registros manuales'!$A$5:$A$104,A529,'Registros manuales'!$B$5:$B$104,B529,'Registros manuales'!$C$5:$C$104,C529)</f>
        <v>0</v>
      </c>
    </row>
    <row r="530" spans="1:12" x14ac:dyDescent="0.3">
      <c r="A530" s="16" t="s">
        <v>29</v>
      </c>
      <c r="B530" s="16" t="s">
        <v>12</v>
      </c>
      <c r="C530" s="31">
        <v>46245</v>
      </c>
      <c r="D530" s="17">
        <v>27910.53</v>
      </c>
      <c r="E530" s="17">
        <v>0</v>
      </c>
      <c r="F530" s="17">
        <v>3881.62</v>
      </c>
      <c r="G530" s="17">
        <v>0</v>
      </c>
      <c r="H530" s="17">
        <f t="shared" si="24"/>
        <v>24028.91</v>
      </c>
      <c r="I530" s="17">
        <v>24074.07</v>
      </c>
      <c r="J530" s="17">
        <f t="shared" si="25"/>
        <v>45.159999999999854</v>
      </c>
      <c r="K530" s="23">
        <f t="shared" si="26"/>
        <v>1.1634317630267737E-2</v>
      </c>
      <c r="L530" s="17">
        <f>SUMIFS('Registros manuales'!$D$5:$D$104,'Registros manuales'!$A$5:$A$104,A530,'Registros manuales'!$B$5:$B$104,B530,'Registros manuales'!$C$5:$C$104,C530)</f>
        <v>0</v>
      </c>
    </row>
    <row r="531" spans="1:12" x14ac:dyDescent="0.3">
      <c r="A531" s="16" t="s">
        <v>29</v>
      </c>
      <c r="B531" s="16" t="s">
        <v>12</v>
      </c>
      <c r="C531" s="31">
        <v>46246</v>
      </c>
      <c r="D531" s="17">
        <v>24074.07</v>
      </c>
      <c r="E531" s="17">
        <v>0</v>
      </c>
      <c r="F531" s="17">
        <v>7248.86</v>
      </c>
      <c r="G531" s="17">
        <v>0</v>
      </c>
      <c r="H531" s="17">
        <f t="shared" si="24"/>
        <v>16825.21</v>
      </c>
      <c r="I531" s="17">
        <v>17016.009999999998</v>
      </c>
      <c r="J531" s="17">
        <f t="shared" si="25"/>
        <v>190.79999999999927</v>
      </c>
      <c r="K531" s="23">
        <f t="shared" si="26"/>
        <v>2.6321380189436586E-2</v>
      </c>
      <c r="L531" s="17">
        <f>SUMIFS('Registros manuales'!$D$5:$D$104,'Registros manuales'!$A$5:$A$104,A531,'Registros manuales'!$B$5:$B$104,B531,'Registros manuales'!$C$5:$C$104,C531)</f>
        <v>0</v>
      </c>
    </row>
    <row r="532" spans="1:12" x14ac:dyDescent="0.3">
      <c r="A532" s="16" t="s">
        <v>29</v>
      </c>
      <c r="B532" s="16" t="s">
        <v>12</v>
      </c>
      <c r="C532" s="31">
        <v>46247</v>
      </c>
      <c r="D532" s="17">
        <v>17016.009999999998</v>
      </c>
      <c r="E532" s="17">
        <v>29864</v>
      </c>
      <c r="F532" s="17">
        <v>6225.05</v>
      </c>
      <c r="G532" s="17">
        <v>0</v>
      </c>
      <c r="H532" s="17">
        <f t="shared" si="24"/>
        <v>40654.959999999992</v>
      </c>
      <c r="I532" s="17">
        <v>40233.949999999997</v>
      </c>
      <c r="J532" s="17">
        <f t="shared" si="25"/>
        <v>-421.00999999999476</v>
      </c>
      <c r="K532" s="23">
        <f t="shared" si="26"/>
        <v>-6.7631585288470741E-2</v>
      </c>
      <c r="L532" s="17">
        <f>SUMIFS('Registros manuales'!$D$5:$D$104,'Registros manuales'!$A$5:$A$104,A532,'Registros manuales'!$B$5:$B$104,B532,'Registros manuales'!$C$5:$C$104,C532)</f>
        <v>0</v>
      </c>
    </row>
    <row r="533" spans="1:12" x14ac:dyDescent="0.3">
      <c r="A533" s="16" t="s">
        <v>29</v>
      </c>
      <c r="B533" s="16" t="s">
        <v>12</v>
      </c>
      <c r="C533" s="31">
        <v>46248</v>
      </c>
      <c r="D533" s="17">
        <v>40233.949999999997</v>
      </c>
      <c r="E533" s="17">
        <v>0</v>
      </c>
      <c r="F533" s="17">
        <v>6838.65</v>
      </c>
      <c r="G533" s="17">
        <v>0</v>
      </c>
      <c r="H533" s="17">
        <f t="shared" si="24"/>
        <v>33395.299999999996</v>
      </c>
      <c r="I533" s="17">
        <v>33459.71</v>
      </c>
      <c r="J533" s="17">
        <f t="shared" si="25"/>
        <v>64.410000000003492</v>
      </c>
      <c r="K533" s="23">
        <f t="shared" si="26"/>
        <v>9.4185255861907683E-3</v>
      </c>
      <c r="L533" s="17">
        <f>SUMIFS('Registros manuales'!$D$5:$D$104,'Registros manuales'!$A$5:$A$104,A533,'Registros manuales'!$B$5:$B$104,B533,'Registros manuales'!$C$5:$C$104,C533)</f>
        <v>0</v>
      </c>
    </row>
    <row r="534" spans="1:12" x14ac:dyDescent="0.3">
      <c r="A534" s="16" t="s">
        <v>29</v>
      </c>
      <c r="B534" s="16" t="s">
        <v>12</v>
      </c>
      <c r="C534" s="31">
        <v>46249</v>
      </c>
      <c r="D534" s="17">
        <v>33459.71</v>
      </c>
      <c r="E534" s="17">
        <v>0</v>
      </c>
      <c r="F534" s="17">
        <v>7402.19</v>
      </c>
      <c r="G534" s="17">
        <v>0</v>
      </c>
      <c r="H534" s="17">
        <f t="shared" si="24"/>
        <v>26057.52</v>
      </c>
      <c r="I534" s="17">
        <v>26200.59</v>
      </c>
      <c r="J534" s="17">
        <f t="shared" si="25"/>
        <v>143.06999999999971</v>
      </c>
      <c r="K534" s="23">
        <f t="shared" si="26"/>
        <v>1.9328063721682328E-2</v>
      </c>
      <c r="L534" s="17">
        <f>SUMIFS('Registros manuales'!$D$5:$D$104,'Registros manuales'!$A$5:$A$104,A534,'Registros manuales'!$B$5:$B$104,B534,'Registros manuales'!$C$5:$C$104,C534)</f>
        <v>0</v>
      </c>
    </row>
    <row r="535" spans="1:12" x14ac:dyDescent="0.3">
      <c r="A535" s="16" t="s">
        <v>29</v>
      </c>
      <c r="B535" s="16" t="s">
        <v>12</v>
      </c>
      <c r="C535" s="31">
        <v>46250</v>
      </c>
      <c r="D535" s="17">
        <v>26200.59</v>
      </c>
      <c r="E535" s="17">
        <v>0</v>
      </c>
      <c r="F535" s="17">
        <v>2780.96</v>
      </c>
      <c r="G535" s="17">
        <v>0</v>
      </c>
      <c r="H535" s="17">
        <f t="shared" si="24"/>
        <v>23419.63</v>
      </c>
      <c r="I535" s="17">
        <v>23471.71</v>
      </c>
      <c r="J535" s="17">
        <f t="shared" si="25"/>
        <v>52.079999999998108</v>
      </c>
      <c r="K535" s="23">
        <f t="shared" si="26"/>
        <v>1.8727345952476163E-2</v>
      </c>
      <c r="L535" s="17">
        <f>SUMIFS('Registros manuales'!$D$5:$D$104,'Registros manuales'!$A$5:$A$104,A535,'Registros manuales'!$B$5:$B$104,B535,'Registros manuales'!$C$5:$C$104,C535)</f>
        <v>0</v>
      </c>
    </row>
    <row r="536" spans="1:12" x14ac:dyDescent="0.3">
      <c r="A536" s="16" t="s">
        <v>29</v>
      </c>
      <c r="B536" s="16" t="s">
        <v>12</v>
      </c>
      <c r="C536" s="31">
        <v>46251</v>
      </c>
      <c r="D536" s="17">
        <v>23471.71</v>
      </c>
      <c r="E536" s="17">
        <v>19843</v>
      </c>
      <c r="F536" s="17">
        <v>5760.55</v>
      </c>
      <c r="G536" s="17">
        <v>0</v>
      </c>
      <c r="H536" s="17">
        <f t="shared" si="24"/>
        <v>37554.159999999996</v>
      </c>
      <c r="I536" s="17">
        <v>37240.18</v>
      </c>
      <c r="J536" s="17">
        <f t="shared" si="25"/>
        <v>-313.97999999999593</v>
      </c>
      <c r="K536" s="23">
        <f t="shared" si="26"/>
        <v>-5.4505212175919991E-2</v>
      </c>
      <c r="L536" s="17">
        <f>SUMIFS('Registros manuales'!$D$5:$D$104,'Registros manuales'!$A$5:$A$104,A536,'Registros manuales'!$B$5:$B$104,B536,'Registros manuales'!$C$5:$C$104,C536)</f>
        <v>0</v>
      </c>
    </row>
    <row r="537" spans="1:12" x14ac:dyDescent="0.3">
      <c r="A537" s="16" t="s">
        <v>29</v>
      </c>
      <c r="B537" s="16" t="s">
        <v>12</v>
      </c>
      <c r="C537" s="31">
        <v>46252</v>
      </c>
      <c r="D537" s="17">
        <v>37240.18</v>
      </c>
      <c r="E537" s="17">
        <v>0</v>
      </c>
      <c r="F537" s="17">
        <v>5651.52</v>
      </c>
      <c r="G537" s="17">
        <v>0</v>
      </c>
      <c r="H537" s="17">
        <f t="shared" si="24"/>
        <v>31588.66</v>
      </c>
      <c r="I537" s="17">
        <v>31684.38</v>
      </c>
      <c r="J537" s="17">
        <f t="shared" si="25"/>
        <v>95.720000000001164</v>
      </c>
      <c r="K537" s="23">
        <f t="shared" si="26"/>
        <v>1.6937036407904626E-2</v>
      </c>
      <c r="L537" s="17">
        <f>SUMIFS('Registros manuales'!$D$5:$D$104,'Registros manuales'!$A$5:$A$104,A537,'Registros manuales'!$B$5:$B$104,B537,'Registros manuales'!$C$5:$C$104,C537)</f>
        <v>0</v>
      </c>
    </row>
    <row r="538" spans="1:12" x14ac:dyDescent="0.3">
      <c r="A538" s="16" t="s">
        <v>29</v>
      </c>
      <c r="B538" s="16" t="s">
        <v>12</v>
      </c>
      <c r="C538" s="31">
        <v>46253</v>
      </c>
      <c r="D538" s="17">
        <v>31684.38</v>
      </c>
      <c r="E538" s="17">
        <v>0</v>
      </c>
      <c r="F538" s="17">
        <v>7050.64</v>
      </c>
      <c r="G538" s="17">
        <v>0</v>
      </c>
      <c r="H538" s="17">
        <f t="shared" si="24"/>
        <v>24633.74</v>
      </c>
      <c r="I538" s="17">
        <v>24701.29</v>
      </c>
      <c r="J538" s="17">
        <f t="shared" si="25"/>
        <v>67.549999999999272</v>
      </c>
      <c r="K538" s="23">
        <f t="shared" si="26"/>
        <v>9.5806905472409984E-3</v>
      </c>
      <c r="L538" s="17">
        <f>SUMIFS('Registros manuales'!$D$5:$D$104,'Registros manuales'!$A$5:$A$104,A538,'Registros manuales'!$B$5:$B$104,B538,'Registros manuales'!$C$5:$C$104,C538)</f>
        <v>0</v>
      </c>
    </row>
    <row r="539" spans="1:12" x14ac:dyDescent="0.3">
      <c r="A539" s="16" t="s">
        <v>29</v>
      </c>
      <c r="B539" s="16" t="s">
        <v>12</v>
      </c>
      <c r="C539" s="31">
        <v>46254</v>
      </c>
      <c r="D539" s="17">
        <v>24701.29</v>
      </c>
      <c r="E539" s="17">
        <v>33480</v>
      </c>
      <c r="F539" s="17">
        <v>8925.94</v>
      </c>
      <c r="G539" s="17">
        <v>0</v>
      </c>
      <c r="H539" s="17">
        <f t="shared" si="24"/>
        <v>49255.35</v>
      </c>
      <c r="I539" s="17">
        <v>50193.73</v>
      </c>
      <c r="J539" s="17">
        <f t="shared" si="25"/>
        <v>938.38000000000466</v>
      </c>
      <c r="K539" s="23">
        <f t="shared" si="26"/>
        <v>0.1051295437791431</v>
      </c>
      <c r="L539" s="17">
        <f>SUMIFS('Registros manuales'!$D$5:$D$104,'Registros manuales'!$A$5:$A$104,A539,'Registros manuales'!$B$5:$B$104,B539,'Registros manuales'!$C$5:$C$104,C539)</f>
        <v>0</v>
      </c>
    </row>
    <row r="540" spans="1:12" x14ac:dyDescent="0.3">
      <c r="A540" s="16" t="s">
        <v>29</v>
      </c>
      <c r="B540" s="16" t="s">
        <v>12</v>
      </c>
      <c r="C540" s="31">
        <v>46255</v>
      </c>
      <c r="D540" s="17">
        <v>50193.73</v>
      </c>
      <c r="E540" s="17">
        <v>0</v>
      </c>
      <c r="F540" s="17">
        <v>7587.98</v>
      </c>
      <c r="G540" s="17">
        <v>0</v>
      </c>
      <c r="H540" s="17">
        <f t="shared" si="24"/>
        <v>42605.75</v>
      </c>
      <c r="I540" s="17">
        <v>42587.88</v>
      </c>
      <c r="J540" s="17">
        <f t="shared" si="25"/>
        <v>-17.870000000002619</v>
      </c>
      <c r="K540" s="23">
        <f t="shared" si="26"/>
        <v>-2.355040471904594E-3</v>
      </c>
      <c r="L540" s="17">
        <f>SUMIFS('Registros manuales'!$D$5:$D$104,'Registros manuales'!$A$5:$A$104,A540,'Registros manuales'!$B$5:$B$104,B540,'Registros manuales'!$C$5:$C$104,C540)</f>
        <v>0</v>
      </c>
    </row>
    <row r="541" spans="1:12" x14ac:dyDescent="0.3">
      <c r="A541" s="16" t="s">
        <v>29</v>
      </c>
      <c r="B541" s="16" t="s">
        <v>12</v>
      </c>
      <c r="C541" s="31">
        <v>46256</v>
      </c>
      <c r="D541" s="17">
        <v>42587.88</v>
      </c>
      <c r="E541" s="17">
        <v>0</v>
      </c>
      <c r="F541" s="17">
        <v>7397.7</v>
      </c>
      <c r="G541" s="17">
        <v>0</v>
      </c>
      <c r="H541" s="17">
        <f t="shared" si="24"/>
        <v>35190.18</v>
      </c>
      <c r="I541" s="17">
        <v>35166.21</v>
      </c>
      <c r="J541" s="17">
        <f t="shared" si="25"/>
        <v>-23.970000000001164</v>
      </c>
      <c r="K541" s="23">
        <f t="shared" si="26"/>
        <v>-3.2401962772214562E-3</v>
      </c>
      <c r="L541" s="17">
        <f>SUMIFS('Registros manuales'!$D$5:$D$104,'Registros manuales'!$A$5:$A$104,A541,'Registros manuales'!$B$5:$B$104,B541,'Registros manuales'!$C$5:$C$104,C541)</f>
        <v>0</v>
      </c>
    </row>
    <row r="542" spans="1:12" x14ac:dyDescent="0.3">
      <c r="A542" s="16" t="s">
        <v>29</v>
      </c>
      <c r="B542" s="16" t="s">
        <v>12</v>
      </c>
      <c r="C542" s="31">
        <v>46257</v>
      </c>
      <c r="D542" s="17">
        <v>35166.21</v>
      </c>
      <c r="E542" s="17">
        <v>0</v>
      </c>
      <c r="F542" s="17">
        <v>4054.76</v>
      </c>
      <c r="G542" s="17">
        <v>0</v>
      </c>
      <c r="H542" s="17">
        <f t="shared" si="24"/>
        <v>31111.449999999997</v>
      </c>
      <c r="I542" s="17">
        <v>31103.94</v>
      </c>
      <c r="J542" s="17">
        <f t="shared" si="25"/>
        <v>-7.5099999999983993</v>
      </c>
      <c r="K542" s="23">
        <f t="shared" si="26"/>
        <v>-1.8521441466322049E-3</v>
      </c>
      <c r="L542" s="17">
        <f>SUMIFS('Registros manuales'!$D$5:$D$104,'Registros manuales'!$A$5:$A$104,A542,'Registros manuales'!$B$5:$B$104,B542,'Registros manuales'!$C$5:$C$104,C542)</f>
        <v>0</v>
      </c>
    </row>
    <row r="543" spans="1:12" x14ac:dyDescent="0.3">
      <c r="A543" s="16" t="s">
        <v>29</v>
      </c>
      <c r="B543" s="16" t="s">
        <v>12</v>
      </c>
      <c r="C543" s="31">
        <v>46258</v>
      </c>
      <c r="D543" s="17">
        <v>31103.94</v>
      </c>
      <c r="E543" s="17">
        <v>19894</v>
      </c>
      <c r="F543" s="17">
        <v>6753.55</v>
      </c>
      <c r="G543" s="17">
        <v>0</v>
      </c>
      <c r="H543" s="17">
        <f t="shared" si="24"/>
        <v>44244.39</v>
      </c>
      <c r="I543" s="17">
        <v>44162.720000000001</v>
      </c>
      <c r="J543" s="17">
        <f t="shared" si="25"/>
        <v>-81.669999999998254</v>
      </c>
      <c r="K543" s="23">
        <f t="shared" si="26"/>
        <v>-1.2092899290002776E-2</v>
      </c>
      <c r="L543" s="17">
        <f>SUMIFS('Registros manuales'!$D$5:$D$104,'Registros manuales'!$A$5:$A$104,A543,'Registros manuales'!$B$5:$B$104,B543,'Registros manuales'!$C$5:$C$104,C543)</f>
        <v>0</v>
      </c>
    </row>
    <row r="544" spans="1:12" x14ac:dyDescent="0.3">
      <c r="A544" s="16" t="s">
        <v>29</v>
      </c>
      <c r="B544" s="16" t="s">
        <v>12</v>
      </c>
      <c r="C544" s="31">
        <v>46259</v>
      </c>
      <c r="D544" s="17">
        <v>44162.720000000001</v>
      </c>
      <c r="E544" s="17">
        <v>0</v>
      </c>
      <c r="F544" s="17">
        <v>6495.45</v>
      </c>
      <c r="G544" s="17">
        <v>0</v>
      </c>
      <c r="H544" s="17">
        <f t="shared" si="24"/>
        <v>37667.270000000004</v>
      </c>
      <c r="I544" s="17">
        <v>37657.01</v>
      </c>
      <c r="J544" s="17">
        <f t="shared" si="25"/>
        <v>-10.260000000002037</v>
      </c>
      <c r="K544" s="23">
        <f t="shared" si="26"/>
        <v>-1.5795672355267206E-3</v>
      </c>
      <c r="L544" s="17">
        <f>SUMIFS('Registros manuales'!$D$5:$D$104,'Registros manuales'!$A$5:$A$104,A544,'Registros manuales'!$B$5:$B$104,B544,'Registros manuales'!$C$5:$C$104,C544)</f>
        <v>0</v>
      </c>
    </row>
    <row r="545" spans="1:12" x14ac:dyDescent="0.3">
      <c r="A545" s="16" t="s">
        <v>29</v>
      </c>
      <c r="B545" s="16" t="s">
        <v>12</v>
      </c>
      <c r="C545" s="31">
        <v>46260</v>
      </c>
      <c r="D545" s="17">
        <v>37657.01</v>
      </c>
      <c r="E545" s="17">
        <v>0</v>
      </c>
      <c r="F545" s="17">
        <v>8389.32</v>
      </c>
      <c r="G545" s="17">
        <v>0</v>
      </c>
      <c r="H545" s="17">
        <f t="shared" si="24"/>
        <v>29267.690000000002</v>
      </c>
      <c r="I545" s="17">
        <v>29250.42</v>
      </c>
      <c r="J545" s="17">
        <f t="shared" si="25"/>
        <v>-17.270000000004075</v>
      </c>
      <c r="K545" s="23">
        <f t="shared" si="26"/>
        <v>-2.0585697052924522E-3</v>
      </c>
      <c r="L545" s="17">
        <f>SUMIFS('Registros manuales'!$D$5:$D$104,'Registros manuales'!$A$5:$A$104,A545,'Registros manuales'!$B$5:$B$104,B545,'Registros manuales'!$C$5:$C$104,C545)</f>
        <v>0</v>
      </c>
    </row>
    <row r="546" spans="1:12" x14ac:dyDescent="0.3">
      <c r="A546" s="16" t="s">
        <v>29</v>
      </c>
      <c r="B546" s="16" t="s">
        <v>12</v>
      </c>
      <c r="C546" s="31">
        <v>46261</v>
      </c>
      <c r="D546" s="17">
        <v>29250.42</v>
      </c>
      <c r="E546" s="17">
        <v>33420</v>
      </c>
      <c r="F546" s="17">
        <v>5423.52</v>
      </c>
      <c r="G546" s="17">
        <v>0</v>
      </c>
      <c r="H546" s="17">
        <f t="shared" si="24"/>
        <v>57246.899999999994</v>
      </c>
      <c r="I546" s="17">
        <v>57454.89</v>
      </c>
      <c r="J546" s="17">
        <f t="shared" si="25"/>
        <v>207.99000000000524</v>
      </c>
      <c r="K546" s="23">
        <f t="shared" si="26"/>
        <v>3.834963271086033E-2</v>
      </c>
      <c r="L546" s="17">
        <f>SUMIFS('Registros manuales'!$D$5:$D$104,'Registros manuales'!$A$5:$A$104,A546,'Registros manuales'!$B$5:$B$104,B546,'Registros manuales'!$C$5:$C$104,C546)</f>
        <v>0</v>
      </c>
    </row>
    <row r="547" spans="1:12" x14ac:dyDescent="0.3">
      <c r="A547" s="16" t="s">
        <v>29</v>
      </c>
      <c r="B547" s="16" t="s">
        <v>12</v>
      </c>
      <c r="C547" s="31">
        <v>46262</v>
      </c>
      <c r="D547" s="17">
        <v>57454.89</v>
      </c>
      <c r="E547" s="17">
        <v>0</v>
      </c>
      <c r="F547" s="17">
        <v>11601.37</v>
      </c>
      <c r="G547" s="17">
        <v>0</v>
      </c>
      <c r="H547" s="17">
        <f t="shared" si="24"/>
        <v>45853.52</v>
      </c>
      <c r="I547" s="17">
        <v>45822.15</v>
      </c>
      <c r="J547" s="17">
        <f t="shared" si="25"/>
        <v>-31.369999999995343</v>
      </c>
      <c r="K547" s="23">
        <f t="shared" si="26"/>
        <v>-2.7039909941666668E-3</v>
      </c>
      <c r="L547" s="17">
        <f>SUMIFS('Registros manuales'!$D$5:$D$104,'Registros manuales'!$A$5:$A$104,A547,'Registros manuales'!$B$5:$B$104,B547,'Registros manuales'!$C$5:$C$104,C547)</f>
        <v>0</v>
      </c>
    </row>
    <row r="548" spans="1:12" x14ac:dyDescent="0.3">
      <c r="A548" s="16" t="s">
        <v>29</v>
      </c>
      <c r="B548" s="16" t="s">
        <v>12</v>
      </c>
      <c r="C548" s="31">
        <v>46263</v>
      </c>
      <c r="D548" s="17">
        <v>45822.15</v>
      </c>
      <c r="E548" s="17">
        <v>0</v>
      </c>
      <c r="F548" s="17">
        <v>4623.1000000000004</v>
      </c>
      <c r="G548" s="17">
        <v>0</v>
      </c>
      <c r="H548" s="17">
        <f t="shared" si="24"/>
        <v>41199.050000000003</v>
      </c>
      <c r="I548" s="17">
        <v>41174.06</v>
      </c>
      <c r="J548" s="17">
        <f t="shared" si="25"/>
        <v>-24.990000000005239</v>
      </c>
      <c r="K548" s="23">
        <f t="shared" si="26"/>
        <v>-5.4054638662380736E-3</v>
      </c>
      <c r="L548" s="17">
        <f>SUMIFS('Registros manuales'!$D$5:$D$104,'Registros manuales'!$A$5:$A$104,A548,'Registros manuales'!$B$5:$B$104,B548,'Registros manuales'!$C$5:$C$104,C548)</f>
        <v>0</v>
      </c>
    </row>
    <row r="549" spans="1:12" x14ac:dyDescent="0.3">
      <c r="A549" s="16" t="s">
        <v>29</v>
      </c>
      <c r="B549" s="16" t="s">
        <v>12</v>
      </c>
      <c r="C549" s="31">
        <v>46264</v>
      </c>
      <c r="D549" s="17">
        <v>41174.06</v>
      </c>
      <c r="E549" s="17">
        <v>0</v>
      </c>
      <c r="F549" s="17">
        <v>2878.97</v>
      </c>
      <c r="G549" s="17">
        <v>0</v>
      </c>
      <c r="H549" s="17">
        <f t="shared" si="24"/>
        <v>38295.089999999997</v>
      </c>
      <c r="I549" s="17">
        <v>38280.1</v>
      </c>
      <c r="J549" s="17">
        <f t="shared" si="25"/>
        <v>-14.989999999997963</v>
      </c>
      <c r="K549" s="23">
        <f t="shared" si="26"/>
        <v>-5.2067232378239315E-3</v>
      </c>
      <c r="L549" s="17">
        <f>SUMIFS('Registros manuales'!$D$5:$D$104,'Registros manuales'!$A$5:$A$104,A549,'Registros manuales'!$B$5:$B$104,B549,'Registros manuales'!$C$5:$C$104,C549)</f>
        <v>0</v>
      </c>
    </row>
    <row r="550" spans="1:12" x14ac:dyDescent="0.3">
      <c r="A550" s="16" t="s">
        <v>29</v>
      </c>
      <c r="B550" s="16" t="s">
        <v>12</v>
      </c>
      <c r="C550" s="31">
        <v>46265</v>
      </c>
      <c r="D550" s="17">
        <v>38280.1</v>
      </c>
      <c r="E550" s="17">
        <v>0</v>
      </c>
      <c r="F550" s="17">
        <v>4727.8599999999997</v>
      </c>
      <c r="G550" s="17">
        <v>0</v>
      </c>
      <c r="H550" s="17">
        <f t="shared" si="24"/>
        <v>33552.239999999998</v>
      </c>
      <c r="I550" s="17">
        <v>33537.730000000003</v>
      </c>
      <c r="J550" s="17">
        <f t="shared" si="25"/>
        <v>-14.509999999994761</v>
      </c>
      <c r="K550" s="23">
        <f t="shared" si="26"/>
        <v>-3.069041807497422E-3</v>
      </c>
      <c r="L550" s="17">
        <f>SUMIFS('Registros manuales'!$D$5:$D$104,'Registros manuales'!$A$5:$A$104,A550,'Registros manuales'!$B$5:$B$104,B550,'Registros manuales'!$C$5:$C$104,C550)</f>
        <v>0</v>
      </c>
    </row>
  </sheetData>
  <autoFilter ref="A4:L550" xr:uid="{00000000-0009-0000-0000-000003000000}"/>
  <conditionalFormatting sqref="K5:K550">
    <cfRule type="expression" dxfId="19" priority="3" stopIfTrue="1">
      <formula>ISNUMBER(K5)</formula>
    </cfRule>
  </conditionalFormatting>
  <conditionalFormatting sqref="L5:L550">
    <cfRule type="cellIs" dxfId="18" priority="4" operator="greaterThan">
      <formula>0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00000000-000E-0000-0300-000001000000}">
            <xm:f>AND(ISNUMBER(K5),ABS(K5)&gt;Parámetros!$C$5)</xm:f>
            <x14:dxf>
              <font>
                <b/>
                <color rgb="FF9C0006"/>
              </font>
              <fill>
                <patternFill patternType="solid">
                  <fgColor rgb="FFFFC7CE"/>
                </patternFill>
              </fill>
            </x14:dxf>
          </x14:cfRule>
          <x14:cfRule type="expression" priority="2" stopIfTrue="1" id="{00000000-000E-0000-0300-000002000000}">
            <xm:f>AND(ISNUMBER(K5),ABS(K5)&gt;Parámetros!$C$6)</xm:f>
            <x14:dxf>
              <font>
                <b/>
                <color rgb="FF9C5700"/>
              </font>
              <fill>
                <patternFill patternType="solid">
                  <fgColor rgb="FFFFEB9C"/>
                </patternFill>
              </fill>
            </x14:dxf>
          </x14:cfRule>
          <xm:sqref>K5:K550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K40"/>
  <sheetViews>
    <sheetView showGridLines="0" workbookViewId="0">
      <pane xSplit="2" ySplit="4" topLeftCell="C16" activePane="bottomRight" state="frozen"/>
      <selection pane="topRight"/>
      <selection pane="bottomLeft"/>
      <selection pane="bottomRight" activeCell="F15" sqref="D15:F15"/>
    </sheetView>
  </sheetViews>
  <sheetFormatPr baseColWidth="10" defaultColWidth="8.88671875" defaultRowHeight="14.4" x14ac:dyDescent="0.3"/>
  <cols>
    <col min="1" max="1" width="14" customWidth="1"/>
    <col min="2" max="2" width="10" customWidth="1"/>
    <col min="3" max="3" width="16" customWidth="1"/>
    <col min="4" max="4" width="15" customWidth="1"/>
    <col min="5" max="5" width="8" customWidth="1"/>
    <col min="6" max="6" width="15" customWidth="1"/>
    <col min="7" max="7" width="16" customWidth="1"/>
    <col min="8" max="9" width="11" customWidth="1"/>
    <col min="10" max="10" width="10" customWidth="1"/>
    <col min="11" max="11" width="80" customWidth="1"/>
  </cols>
  <sheetData>
    <row r="1" spans="1:11" ht="25.95" customHeight="1" x14ac:dyDescent="0.4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31.95" customHeight="1" x14ac:dyDescent="0.3">
      <c r="A4" s="5" t="s">
        <v>9</v>
      </c>
      <c r="B4" s="5" t="s">
        <v>37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45</v>
      </c>
      <c r="H4" s="5" t="s">
        <v>72</v>
      </c>
      <c r="I4" s="5" t="s">
        <v>73</v>
      </c>
      <c r="J4" s="5" t="s">
        <v>74</v>
      </c>
      <c r="K4" s="5" t="s">
        <v>75</v>
      </c>
    </row>
    <row r="5" spans="1:11" x14ac:dyDescent="0.3">
      <c r="A5" s="6" t="s">
        <v>18</v>
      </c>
      <c r="B5" s="16" t="s">
        <v>10</v>
      </c>
      <c r="C5" s="11" t="s">
        <v>76</v>
      </c>
      <c r="D5" s="22">
        <f>SUMIFS('Detalle pipas'!$G$5:$G$281,'Detalle pipas'!$A$5:$A$281,A5,'Detalle pipas'!$B$5:$B$281,B5,'Detalle pipas'!$M$5:$M$281,"Sí")</f>
        <v>87211</v>
      </c>
      <c r="E5" s="12">
        <f>COUNTIFS('Detalle pipas'!$A$5:$A$281,A5,'Detalle pipas'!$B$5:$B$281,B5,'Detalle pipas'!$M$5:$M$281,"Sí")</f>
        <v>3</v>
      </c>
      <c r="F5" s="18" t="str">
        <f t="shared" ref="F5:F40" si="0">IF(ISNUMBER(C5),C5-D5,"")</f>
        <v/>
      </c>
      <c r="G5" s="11" t="str">
        <f>IF(NOT(ISNUMBER(C5)),"SIN REPORTE",IF(ABS(F5)&lt;=Parámetros!$C$8*MAX(1,E5),"CUADRA","NO CUADRA"))</f>
        <v>SIN REPORTE</v>
      </c>
      <c r="H5" s="12">
        <f>COUNTIFS('Detalle pipas'!$A$5:$A$281,A5,'Detalle pipas'!$B$5:$B$281,B5,'Detalle pipas'!$L$5:$L$281,"NO REGISTRADA*")</f>
        <v>0</v>
      </c>
      <c r="I5" s="12">
        <f>COUNTIFS('Detalle pipas'!$A$5:$A$281,A5,'Detalle pipas'!$B$5:$B$281,B5,'Detalle pipas'!$L$5:$L$281,"Registrada con desfase*")</f>
        <v>0</v>
      </c>
      <c r="J5" s="12">
        <f>COUNTIFS('Compras sin pipa'!$A$5:$A$5,A5,'Compras sin pipa'!$B$5:$B$5,B5)+COUNTIFS('Registros manuales'!$A$5:$A$104,A5,'Registros manuales'!$B$5:$B$104,B5,'Registros manuales'!$G$5:$G$104,"SIN PIPA*")</f>
        <v>0</v>
      </c>
      <c r="K5" s="16" t="str">
        <f>IF(COUNTIFS('Detalle pipas'!$A$5:$A$281,A5,'Detalle pipas'!$B$5:$B$281,B5,'Detalle pipas'!$L$5:$L$281,"REGISTRO MANUAL*")&gt;0,"Incluye "&amp;COUNTIFS('Detalle pipas'!$A$5:$A$281,A5,'Detalle pipas'!$B$5:$B$281,B5,'Detalle pipas'!$L$5:$L$281,"REGISTRO MANUAL*")&amp;" registro(s) manual(es) · ","")&amp;IF(G5="SIN REPORTE","Falta el CSV de mermas de esta estación/producto",IF(G5="CUADRA",IF(I5&gt;0,"Cuadra en el mes; hay pipas registradas en otro día (ver Detalle pipas)","Todo en orden"),"Revisar: "&amp;H5&amp;" pipa(s) sin registrar y "&amp;J5&amp;" compra(s) sin pipa"))&amp;IF(COUNTIFS('Detalle pipas'!$A$5:$A$281,A5,'Detalle pipas'!$B$5:$B$281,B5,'Detalle pipas'!$M$5:$M$281,"No")&gt;0," · "&amp;COUNTIFS('Detalle pipas'!$A$5:$A$281,A5,'Detalle pipas'!$B$5:$B$281,B5,'Detalle pipas'!$M$5:$M$281,"No")&amp;" pipa(s) antes del inicio del reporte (no se cuentan)","")</f>
        <v>Falta el CSV de mermas de esta estación/producto</v>
      </c>
    </row>
    <row r="6" spans="1:11" x14ac:dyDescent="0.3">
      <c r="A6" s="6" t="s">
        <v>18</v>
      </c>
      <c r="B6" s="16" t="s">
        <v>11</v>
      </c>
      <c r="C6" s="11" t="s">
        <v>76</v>
      </c>
      <c r="D6" s="22">
        <f>SUMIFS('Detalle pipas'!$G$5:$G$281,'Detalle pipas'!$A$5:$A$281,A6,'Detalle pipas'!$B$5:$B$281,B6,'Detalle pipas'!$M$5:$M$281,"Sí")</f>
        <v>10198</v>
      </c>
      <c r="E6" s="12">
        <f>COUNTIFS('Detalle pipas'!$A$5:$A$281,A6,'Detalle pipas'!$B$5:$B$281,B6,'Detalle pipas'!$M$5:$M$281,"Sí")</f>
        <v>1</v>
      </c>
      <c r="F6" s="18" t="str">
        <f t="shared" si="0"/>
        <v/>
      </c>
      <c r="G6" s="11" t="str">
        <f>IF(NOT(ISNUMBER(C6)),"SIN REPORTE",IF(ABS(F6)&lt;=Parámetros!$C$8*MAX(1,E6),"CUADRA","NO CUADRA"))</f>
        <v>SIN REPORTE</v>
      </c>
      <c r="H6" s="12">
        <f>COUNTIFS('Detalle pipas'!$A$5:$A$281,A6,'Detalle pipas'!$B$5:$B$281,B6,'Detalle pipas'!$L$5:$L$281,"NO REGISTRADA*")</f>
        <v>0</v>
      </c>
      <c r="I6" s="12">
        <f>COUNTIFS('Detalle pipas'!$A$5:$A$281,A6,'Detalle pipas'!$B$5:$B$281,B6,'Detalle pipas'!$L$5:$L$281,"Registrada con desfase*")</f>
        <v>0</v>
      </c>
      <c r="J6" s="12">
        <f>COUNTIFS('Compras sin pipa'!$A$5:$A$5,A6,'Compras sin pipa'!$B$5:$B$5,B6)+COUNTIFS('Registros manuales'!$A$5:$A$104,A6,'Registros manuales'!$B$5:$B$104,B6,'Registros manuales'!$G$5:$G$104,"SIN PIPA*")</f>
        <v>0</v>
      </c>
      <c r="K6" s="16" t="str">
        <f>IF(COUNTIFS('Detalle pipas'!$A$5:$A$281,A6,'Detalle pipas'!$B$5:$B$281,B6,'Detalle pipas'!$L$5:$L$281,"REGISTRO MANUAL*")&gt;0,"Incluye "&amp;COUNTIFS('Detalle pipas'!$A$5:$A$281,A6,'Detalle pipas'!$B$5:$B$281,B6,'Detalle pipas'!$L$5:$L$281,"REGISTRO MANUAL*")&amp;" registro(s) manual(es) · ","")&amp;IF(G6="SIN REPORTE","Falta el CSV de mermas de esta estación/producto",IF(G6="CUADRA",IF(I6&gt;0,"Cuadra en el mes; hay pipas registradas en otro día (ver Detalle pipas)","Todo en orden"),"Revisar: "&amp;H6&amp;" pipa(s) sin registrar y "&amp;J6&amp;" compra(s) sin pipa"))&amp;IF(COUNTIFS('Detalle pipas'!$A$5:$A$281,A6,'Detalle pipas'!$B$5:$B$281,B6,'Detalle pipas'!$M$5:$M$281,"No")&gt;0," · "&amp;COUNTIFS('Detalle pipas'!$A$5:$A$281,A6,'Detalle pipas'!$B$5:$B$281,B6,'Detalle pipas'!$M$5:$M$281,"No")&amp;" pipa(s) antes del inicio del reporte (no se cuentan)","")</f>
        <v>Falta el CSV de mermas de esta estación/producto</v>
      </c>
    </row>
    <row r="7" spans="1:11" x14ac:dyDescent="0.3">
      <c r="A7" s="6" t="s">
        <v>18</v>
      </c>
      <c r="B7" s="16" t="s">
        <v>12</v>
      </c>
      <c r="C7" s="11" t="s">
        <v>76</v>
      </c>
      <c r="D7" s="22">
        <f>SUMIFS('Detalle pipas'!$G$5:$G$281,'Detalle pipas'!$A$5:$A$281,A7,'Detalle pipas'!$B$5:$B$281,B7,'Detalle pipas'!$M$5:$M$281,"Sí")</f>
        <v>66767</v>
      </c>
      <c r="E7" s="12">
        <f>COUNTIFS('Detalle pipas'!$A$5:$A$281,A7,'Detalle pipas'!$B$5:$B$281,B7,'Detalle pipas'!$M$5:$M$281,"Sí")</f>
        <v>2</v>
      </c>
      <c r="F7" s="18" t="str">
        <f t="shared" si="0"/>
        <v/>
      </c>
      <c r="G7" s="11" t="str">
        <f>IF(NOT(ISNUMBER(C7)),"SIN REPORTE",IF(ABS(F7)&lt;=Parámetros!$C$8*MAX(1,E7),"CUADRA","NO CUADRA"))</f>
        <v>SIN REPORTE</v>
      </c>
      <c r="H7" s="12">
        <f>COUNTIFS('Detalle pipas'!$A$5:$A$281,A7,'Detalle pipas'!$B$5:$B$281,B7,'Detalle pipas'!$L$5:$L$281,"NO REGISTRADA*")</f>
        <v>0</v>
      </c>
      <c r="I7" s="12">
        <f>COUNTIFS('Detalle pipas'!$A$5:$A$281,A7,'Detalle pipas'!$B$5:$B$281,B7,'Detalle pipas'!$L$5:$L$281,"Registrada con desfase*")</f>
        <v>0</v>
      </c>
      <c r="J7" s="12">
        <f>COUNTIFS('Compras sin pipa'!$A$5:$A$5,A7,'Compras sin pipa'!$B$5:$B$5,B7)+COUNTIFS('Registros manuales'!$A$5:$A$104,A7,'Registros manuales'!$B$5:$B$104,B7,'Registros manuales'!$G$5:$G$104,"SIN PIPA*")</f>
        <v>0</v>
      </c>
      <c r="K7" s="16" t="str">
        <f>IF(COUNTIFS('Detalle pipas'!$A$5:$A$281,A7,'Detalle pipas'!$B$5:$B$281,B7,'Detalle pipas'!$L$5:$L$281,"REGISTRO MANUAL*")&gt;0,"Incluye "&amp;COUNTIFS('Detalle pipas'!$A$5:$A$281,A7,'Detalle pipas'!$B$5:$B$281,B7,'Detalle pipas'!$L$5:$L$281,"REGISTRO MANUAL*")&amp;" registro(s) manual(es) · ","")&amp;IF(G7="SIN REPORTE","Falta el CSV de mermas de esta estación/producto",IF(G7="CUADRA",IF(I7&gt;0,"Cuadra en el mes; hay pipas registradas en otro día (ver Detalle pipas)","Todo en orden"),"Revisar: "&amp;H7&amp;" pipa(s) sin registrar y "&amp;J7&amp;" compra(s) sin pipa"))&amp;IF(COUNTIFS('Detalle pipas'!$A$5:$A$281,A7,'Detalle pipas'!$B$5:$B$281,B7,'Detalle pipas'!$M$5:$M$281,"No")&gt;0," · "&amp;COUNTIFS('Detalle pipas'!$A$5:$A$281,A7,'Detalle pipas'!$B$5:$B$281,B7,'Detalle pipas'!$M$5:$M$281,"No")&amp;" pipa(s) antes del inicio del reporte (no se cuentan)","")</f>
        <v>Falta el CSV de mermas de esta estación/producto</v>
      </c>
    </row>
    <row r="8" spans="1:11" x14ac:dyDescent="0.3">
      <c r="A8" s="6" t="s">
        <v>19</v>
      </c>
      <c r="B8" s="16" t="s">
        <v>10</v>
      </c>
      <c r="C8" s="11" t="s">
        <v>76</v>
      </c>
      <c r="D8" s="22">
        <f>SUMIFS('Detalle pipas'!$G$5:$G$281,'Detalle pipas'!$A$5:$A$281,A8,'Detalle pipas'!$B$5:$B$281,B8,'Detalle pipas'!$M$5:$M$281,"Sí")</f>
        <v>147203</v>
      </c>
      <c r="E8" s="12">
        <f>COUNTIFS('Detalle pipas'!$A$5:$A$281,A8,'Detalle pipas'!$B$5:$B$281,B8,'Detalle pipas'!$M$5:$M$281,"Sí")</f>
        <v>5</v>
      </c>
      <c r="F8" s="18" t="str">
        <f t="shared" si="0"/>
        <v/>
      </c>
      <c r="G8" s="11" t="str">
        <f>IF(NOT(ISNUMBER(C8)),"SIN REPORTE",IF(ABS(F8)&lt;=Parámetros!$C$8*MAX(1,E8),"CUADRA","NO CUADRA"))</f>
        <v>SIN REPORTE</v>
      </c>
      <c r="H8" s="12">
        <f>COUNTIFS('Detalle pipas'!$A$5:$A$281,A8,'Detalle pipas'!$B$5:$B$281,B8,'Detalle pipas'!$L$5:$L$281,"NO REGISTRADA*")</f>
        <v>0</v>
      </c>
      <c r="I8" s="12">
        <f>COUNTIFS('Detalle pipas'!$A$5:$A$281,A8,'Detalle pipas'!$B$5:$B$281,B8,'Detalle pipas'!$L$5:$L$281,"Registrada con desfase*")</f>
        <v>0</v>
      </c>
      <c r="J8" s="12">
        <f>COUNTIFS('Compras sin pipa'!$A$5:$A$5,A8,'Compras sin pipa'!$B$5:$B$5,B8)+COUNTIFS('Registros manuales'!$A$5:$A$104,A8,'Registros manuales'!$B$5:$B$104,B8,'Registros manuales'!$G$5:$G$104,"SIN PIPA*")</f>
        <v>0</v>
      </c>
      <c r="K8" s="16" t="str">
        <f>IF(COUNTIFS('Detalle pipas'!$A$5:$A$281,A8,'Detalle pipas'!$B$5:$B$281,B8,'Detalle pipas'!$L$5:$L$281,"REGISTRO MANUAL*")&gt;0,"Incluye "&amp;COUNTIFS('Detalle pipas'!$A$5:$A$281,A8,'Detalle pipas'!$B$5:$B$281,B8,'Detalle pipas'!$L$5:$L$281,"REGISTRO MANUAL*")&amp;" registro(s) manual(es) · ","")&amp;IF(G8="SIN REPORTE","Falta el CSV de mermas de esta estación/producto",IF(G8="CUADRA",IF(I8&gt;0,"Cuadra en el mes; hay pipas registradas en otro día (ver Detalle pipas)","Todo en orden"),"Revisar: "&amp;H8&amp;" pipa(s) sin registrar y "&amp;J8&amp;" compra(s) sin pipa"))&amp;IF(COUNTIFS('Detalle pipas'!$A$5:$A$281,A8,'Detalle pipas'!$B$5:$B$281,B8,'Detalle pipas'!$M$5:$M$281,"No")&gt;0," · "&amp;COUNTIFS('Detalle pipas'!$A$5:$A$281,A8,'Detalle pipas'!$B$5:$B$281,B8,'Detalle pipas'!$M$5:$M$281,"No")&amp;" pipa(s) antes del inicio del reporte (no se cuentan)","")</f>
        <v>Falta el CSV de mermas de esta estación/producto</v>
      </c>
    </row>
    <row r="9" spans="1:11" x14ac:dyDescent="0.3">
      <c r="A9" s="6" t="s">
        <v>19</v>
      </c>
      <c r="B9" s="16" t="s">
        <v>11</v>
      </c>
      <c r="C9" s="11" t="s">
        <v>76</v>
      </c>
      <c r="D9" s="22">
        <f>SUMIFS('Detalle pipas'!$G$5:$G$281,'Detalle pipas'!$A$5:$A$281,A9,'Detalle pipas'!$B$5:$B$281,B9,'Detalle pipas'!$M$5:$M$281,"Sí")</f>
        <v>10139</v>
      </c>
      <c r="E9" s="12">
        <f>COUNTIFS('Detalle pipas'!$A$5:$A$281,A9,'Detalle pipas'!$B$5:$B$281,B9,'Detalle pipas'!$M$5:$M$281,"Sí")</f>
        <v>1</v>
      </c>
      <c r="F9" s="18" t="str">
        <f t="shared" si="0"/>
        <v/>
      </c>
      <c r="G9" s="11" t="str">
        <f>IF(NOT(ISNUMBER(C9)),"SIN REPORTE",IF(ABS(F9)&lt;=Parámetros!$C$8*MAX(1,E9),"CUADRA","NO CUADRA"))</f>
        <v>SIN REPORTE</v>
      </c>
      <c r="H9" s="12">
        <f>COUNTIFS('Detalle pipas'!$A$5:$A$281,A9,'Detalle pipas'!$B$5:$B$281,B9,'Detalle pipas'!$L$5:$L$281,"NO REGISTRADA*")</f>
        <v>0</v>
      </c>
      <c r="I9" s="12">
        <f>COUNTIFS('Detalle pipas'!$A$5:$A$281,A9,'Detalle pipas'!$B$5:$B$281,B9,'Detalle pipas'!$L$5:$L$281,"Registrada con desfase*")</f>
        <v>0</v>
      </c>
      <c r="J9" s="12">
        <f>COUNTIFS('Compras sin pipa'!$A$5:$A$5,A9,'Compras sin pipa'!$B$5:$B$5,B9)+COUNTIFS('Registros manuales'!$A$5:$A$104,A9,'Registros manuales'!$B$5:$B$104,B9,'Registros manuales'!$G$5:$G$104,"SIN PIPA*")</f>
        <v>0</v>
      </c>
      <c r="K9" s="16" t="str">
        <f>IF(COUNTIFS('Detalle pipas'!$A$5:$A$281,A9,'Detalle pipas'!$B$5:$B$281,B9,'Detalle pipas'!$L$5:$L$281,"REGISTRO MANUAL*")&gt;0,"Incluye "&amp;COUNTIFS('Detalle pipas'!$A$5:$A$281,A9,'Detalle pipas'!$B$5:$B$281,B9,'Detalle pipas'!$L$5:$L$281,"REGISTRO MANUAL*")&amp;" registro(s) manual(es) · ","")&amp;IF(G9="SIN REPORTE","Falta el CSV de mermas de esta estación/producto",IF(G9="CUADRA",IF(I9&gt;0,"Cuadra en el mes; hay pipas registradas en otro día (ver Detalle pipas)","Todo en orden"),"Revisar: "&amp;H9&amp;" pipa(s) sin registrar y "&amp;J9&amp;" compra(s) sin pipa"))&amp;IF(COUNTIFS('Detalle pipas'!$A$5:$A$281,A9,'Detalle pipas'!$B$5:$B$281,B9,'Detalle pipas'!$M$5:$M$281,"No")&gt;0," · "&amp;COUNTIFS('Detalle pipas'!$A$5:$A$281,A9,'Detalle pipas'!$B$5:$B$281,B9,'Detalle pipas'!$M$5:$M$281,"No")&amp;" pipa(s) antes del inicio del reporte (no se cuentan)","")</f>
        <v>Falta el CSV de mermas de esta estación/producto</v>
      </c>
    </row>
    <row r="10" spans="1:11" x14ac:dyDescent="0.3">
      <c r="A10" s="6" t="s">
        <v>19</v>
      </c>
      <c r="B10" s="16" t="s">
        <v>12</v>
      </c>
      <c r="C10" s="11" t="s">
        <v>76</v>
      </c>
      <c r="D10" s="22">
        <f>SUMIFS('Detalle pipas'!$G$5:$G$281,'Detalle pipas'!$A$5:$A$281,A10,'Detalle pipas'!$B$5:$B$281,B10,'Detalle pipas'!$M$5:$M$281,"Sí")</f>
        <v>67038</v>
      </c>
      <c r="E10" s="12">
        <f>COUNTIFS('Detalle pipas'!$A$5:$A$281,A10,'Detalle pipas'!$B$5:$B$281,B10,'Detalle pipas'!$M$5:$M$281,"Sí")</f>
        <v>2</v>
      </c>
      <c r="F10" s="18" t="str">
        <f t="shared" si="0"/>
        <v/>
      </c>
      <c r="G10" s="11" t="str">
        <f>IF(NOT(ISNUMBER(C10)),"SIN REPORTE",IF(ABS(F10)&lt;=Parámetros!$C$8*MAX(1,E10),"CUADRA","NO CUADRA"))</f>
        <v>SIN REPORTE</v>
      </c>
      <c r="H10" s="12">
        <f>COUNTIFS('Detalle pipas'!$A$5:$A$281,A10,'Detalle pipas'!$B$5:$B$281,B10,'Detalle pipas'!$L$5:$L$281,"NO REGISTRADA*")</f>
        <v>0</v>
      </c>
      <c r="I10" s="12">
        <f>COUNTIFS('Detalle pipas'!$A$5:$A$281,A10,'Detalle pipas'!$B$5:$B$281,B10,'Detalle pipas'!$L$5:$L$281,"Registrada con desfase*")</f>
        <v>0</v>
      </c>
      <c r="J10" s="12">
        <f>COUNTIFS('Compras sin pipa'!$A$5:$A$5,A10,'Compras sin pipa'!$B$5:$B$5,B10)+COUNTIFS('Registros manuales'!$A$5:$A$104,A10,'Registros manuales'!$B$5:$B$104,B10,'Registros manuales'!$G$5:$G$104,"SIN PIPA*")</f>
        <v>0</v>
      </c>
      <c r="K10" s="16" t="str">
        <f>IF(COUNTIFS('Detalle pipas'!$A$5:$A$281,A10,'Detalle pipas'!$B$5:$B$281,B10,'Detalle pipas'!$L$5:$L$281,"REGISTRO MANUAL*")&gt;0,"Incluye "&amp;COUNTIFS('Detalle pipas'!$A$5:$A$281,A10,'Detalle pipas'!$B$5:$B$281,B10,'Detalle pipas'!$L$5:$L$281,"REGISTRO MANUAL*")&amp;" registro(s) manual(es) · ","")&amp;IF(G10="SIN REPORTE","Falta el CSV de mermas de esta estación/producto",IF(G10="CUADRA",IF(I10&gt;0,"Cuadra en el mes; hay pipas registradas en otro día (ver Detalle pipas)","Todo en orden"),"Revisar: "&amp;H10&amp;" pipa(s) sin registrar y "&amp;J10&amp;" compra(s) sin pipa"))&amp;IF(COUNTIFS('Detalle pipas'!$A$5:$A$281,A10,'Detalle pipas'!$B$5:$B$281,B10,'Detalle pipas'!$M$5:$M$281,"No")&gt;0," · "&amp;COUNTIFS('Detalle pipas'!$A$5:$A$281,A10,'Detalle pipas'!$B$5:$B$281,B10,'Detalle pipas'!$M$5:$M$281,"No")&amp;" pipa(s) antes del inicio del reporte (no se cuentan)","")</f>
        <v>Falta el CSV de mermas de esta estación/producto</v>
      </c>
    </row>
    <row r="11" spans="1:11" x14ac:dyDescent="0.3">
      <c r="A11" s="6" t="s">
        <v>20</v>
      </c>
      <c r="B11" s="16" t="s">
        <v>10</v>
      </c>
      <c r="C11" s="11" t="s">
        <v>76</v>
      </c>
      <c r="D11" s="22">
        <f>SUMIFS('Detalle pipas'!$G$5:$G$281,'Detalle pipas'!$A$5:$A$281,A11,'Detalle pipas'!$B$5:$B$281,B11,'Detalle pipas'!$M$5:$M$281,"Sí")</f>
        <v>342901</v>
      </c>
      <c r="E11" s="12">
        <f>COUNTIFS('Detalle pipas'!$A$5:$A$281,A11,'Detalle pipas'!$B$5:$B$281,B11,'Detalle pipas'!$M$5:$M$281,"Sí")</f>
        <v>11</v>
      </c>
      <c r="F11" s="18" t="str">
        <f t="shared" si="0"/>
        <v/>
      </c>
      <c r="G11" s="11" t="str">
        <f>IF(NOT(ISNUMBER(C11)),"SIN REPORTE",IF(ABS(F11)&lt;=Parámetros!$C$8*MAX(1,E11),"CUADRA","NO CUADRA"))</f>
        <v>SIN REPORTE</v>
      </c>
      <c r="H11" s="12">
        <f>COUNTIFS('Detalle pipas'!$A$5:$A$281,A11,'Detalle pipas'!$B$5:$B$281,B11,'Detalle pipas'!$L$5:$L$281,"NO REGISTRADA*")</f>
        <v>0</v>
      </c>
      <c r="I11" s="12">
        <f>COUNTIFS('Detalle pipas'!$A$5:$A$281,A11,'Detalle pipas'!$B$5:$B$281,B11,'Detalle pipas'!$L$5:$L$281,"Registrada con desfase*")</f>
        <v>0</v>
      </c>
      <c r="J11" s="12">
        <f>COUNTIFS('Compras sin pipa'!$A$5:$A$5,A11,'Compras sin pipa'!$B$5:$B$5,B11)+COUNTIFS('Registros manuales'!$A$5:$A$104,A11,'Registros manuales'!$B$5:$B$104,B11,'Registros manuales'!$G$5:$G$104,"SIN PIPA*")</f>
        <v>0</v>
      </c>
      <c r="K11" s="16" t="str">
        <f>IF(COUNTIFS('Detalle pipas'!$A$5:$A$281,A11,'Detalle pipas'!$B$5:$B$281,B11,'Detalle pipas'!$L$5:$L$281,"REGISTRO MANUAL*")&gt;0,"Incluye "&amp;COUNTIFS('Detalle pipas'!$A$5:$A$281,A11,'Detalle pipas'!$B$5:$B$281,B11,'Detalle pipas'!$L$5:$L$281,"REGISTRO MANUAL*")&amp;" registro(s) manual(es) · ","")&amp;IF(G11="SIN REPORTE","Falta el CSV de mermas de esta estación/producto",IF(G11="CUADRA",IF(I11&gt;0,"Cuadra en el mes; hay pipas registradas en otro día (ver Detalle pipas)","Todo en orden"),"Revisar: "&amp;H11&amp;" pipa(s) sin registrar y "&amp;J11&amp;" compra(s) sin pipa"))&amp;IF(COUNTIFS('Detalle pipas'!$A$5:$A$281,A11,'Detalle pipas'!$B$5:$B$281,B11,'Detalle pipas'!$M$5:$M$281,"No")&gt;0," · "&amp;COUNTIFS('Detalle pipas'!$A$5:$A$281,A11,'Detalle pipas'!$B$5:$B$281,B11,'Detalle pipas'!$M$5:$M$281,"No")&amp;" pipa(s) antes del inicio del reporte (no se cuentan)","")</f>
        <v>Falta el CSV de mermas de esta estación/producto</v>
      </c>
    </row>
    <row r="12" spans="1:11" x14ac:dyDescent="0.3">
      <c r="A12" s="6" t="s">
        <v>20</v>
      </c>
      <c r="B12" s="16" t="s">
        <v>11</v>
      </c>
      <c r="C12" s="11" t="s">
        <v>76</v>
      </c>
      <c r="D12" s="22">
        <f>SUMIFS('Detalle pipas'!$G$5:$G$281,'Detalle pipas'!$A$5:$A$281,A12,'Detalle pipas'!$B$5:$B$281,B12,'Detalle pipas'!$M$5:$M$281,"Sí")</f>
        <v>124189</v>
      </c>
      <c r="E12" s="12">
        <f>COUNTIFS('Detalle pipas'!$A$5:$A$281,A12,'Detalle pipas'!$B$5:$B$281,B12,'Detalle pipas'!$M$5:$M$281,"Sí")</f>
        <v>4</v>
      </c>
      <c r="F12" s="18" t="str">
        <f t="shared" si="0"/>
        <v/>
      </c>
      <c r="G12" s="11" t="str">
        <f>IF(NOT(ISNUMBER(C12)),"SIN REPORTE",IF(ABS(F12)&lt;=Parámetros!$C$8*MAX(1,E12),"CUADRA","NO CUADRA"))</f>
        <v>SIN REPORTE</v>
      </c>
      <c r="H12" s="12">
        <f>COUNTIFS('Detalle pipas'!$A$5:$A$281,A12,'Detalle pipas'!$B$5:$B$281,B12,'Detalle pipas'!$L$5:$L$281,"NO REGISTRADA*")</f>
        <v>0</v>
      </c>
      <c r="I12" s="12">
        <f>COUNTIFS('Detalle pipas'!$A$5:$A$281,A12,'Detalle pipas'!$B$5:$B$281,B12,'Detalle pipas'!$L$5:$L$281,"Registrada con desfase*")</f>
        <v>0</v>
      </c>
      <c r="J12" s="12">
        <f>COUNTIFS('Compras sin pipa'!$A$5:$A$5,A12,'Compras sin pipa'!$B$5:$B$5,B12)+COUNTIFS('Registros manuales'!$A$5:$A$104,A12,'Registros manuales'!$B$5:$B$104,B12,'Registros manuales'!$G$5:$G$104,"SIN PIPA*")</f>
        <v>0</v>
      </c>
      <c r="K12" s="16" t="str">
        <f>IF(COUNTIFS('Detalle pipas'!$A$5:$A$281,A12,'Detalle pipas'!$B$5:$B$281,B12,'Detalle pipas'!$L$5:$L$281,"REGISTRO MANUAL*")&gt;0,"Incluye "&amp;COUNTIFS('Detalle pipas'!$A$5:$A$281,A12,'Detalle pipas'!$B$5:$B$281,B12,'Detalle pipas'!$L$5:$L$281,"REGISTRO MANUAL*")&amp;" registro(s) manual(es) · ","")&amp;IF(G12="SIN REPORTE","Falta el CSV de mermas de esta estación/producto",IF(G12="CUADRA",IF(I12&gt;0,"Cuadra en el mes; hay pipas registradas en otro día (ver Detalle pipas)","Todo en orden"),"Revisar: "&amp;H12&amp;" pipa(s) sin registrar y "&amp;J12&amp;" compra(s) sin pipa"))&amp;IF(COUNTIFS('Detalle pipas'!$A$5:$A$281,A12,'Detalle pipas'!$B$5:$B$281,B12,'Detalle pipas'!$M$5:$M$281,"No")&gt;0," · "&amp;COUNTIFS('Detalle pipas'!$A$5:$A$281,A12,'Detalle pipas'!$B$5:$B$281,B12,'Detalle pipas'!$M$5:$M$281,"No")&amp;" pipa(s) antes del inicio del reporte (no se cuentan)","")</f>
        <v>Falta el CSV de mermas de esta estación/producto</v>
      </c>
    </row>
    <row r="13" spans="1:11" x14ac:dyDescent="0.3">
      <c r="A13" s="6" t="s">
        <v>20</v>
      </c>
      <c r="B13" s="16" t="s">
        <v>12</v>
      </c>
      <c r="C13" s="11" t="s">
        <v>76</v>
      </c>
      <c r="D13" s="22">
        <f>SUMIFS('Detalle pipas'!$G$5:$G$281,'Detalle pipas'!$A$5:$A$281,A13,'Detalle pipas'!$B$5:$B$281,B13,'Detalle pipas'!$M$5:$M$281,"Sí")</f>
        <v>188295</v>
      </c>
      <c r="E13" s="12">
        <f>COUNTIFS('Detalle pipas'!$A$5:$A$281,A13,'Detalle pipas'!$B$5:$B$281,B13,'Detalle pipas'!$M$5:$M$281,"Sí")</f>
        <v>6</v>
      </c>
      <c r="F13" s="18" t="str">
        <f t="shared" si="0"/>
        <v/>
      </c>
      <c r="G13" s="11" t="str">
        <f>IF(NOT(ISNUMBER(C13)),"SIN REPORTE",IF(ABS(F13)&lt;=Parámetros!$C$8*MAX(1,E13),"CUADRA","NO CUADRA"))</f>
        <v>SIN REPORTE</v>
      </c>
      <c r="H13" s="12">
        <f>COUNTIFS('Detalle pipas'!$A$5:$A$281,A13,'Detalle pipas'!$B$5:$B$281,B13,'Detalle pipas'!$L$5:$L$281,"NO REGISTRADA*")</f>
        <v>0</v>
      </c>
      <c r="I13" s="12">
        <f>COUNTIFS('Detalle pipas'!$A$5:$A$281,A13,'Detalle pipas'!$B$5:$B$281,B13,'Detalle pipas'!$L$5:$L$281,"Registrada con desfase*")</f>
        <v>0</v>
      </c>
      <c r="J13" s="12">
        <f>COUNTIFS('Compras sin pipa'!$A$5:$A$5,A13,'Compras sin pipa'!$B$5:$B$5,B13)+COUNTIFS('Registros manuales'!$A$5:$A$104,A13,'Registros manuales'!$B$5:$B$104,B13,'Registros manuales'!$G$5:$G$104,"SIN PIPA*")</f>
        <v>0</v>
      </c>
      <c r="K13" s="16" t="str">
        <f>IF(COUNTIFS('Detalle pipas'!$A$5:$A$281,A13,'Detalle pipas'!$B$5:$B$281,B13,'Detalle pipas'!$L$5:$L$281,"REGISTRO MANUAL*")&gt;0,"Incluye "&amp;COUNTIFS('Detalle pipas'!$A$5:$A$281,A13,'Detalle pipas'!$B$5:$B$281,B13,'Detalle pipas'!$L$5:$L$281,"REGISTRO MANUAL*")&amp;" registro(s) manual(es) · ","")&amp;IF(G13="SIN REPORTE","Falta el CSV de mermas de esta estación/producto",IF(G13="CUADRA",IF(I13&gt;0,"Cuadra en el mes; hay pipas registradas en otro día (ver Detalle pipas)","Todo en orden"),"Revisar: "&amp;H13&amp;" pipa(s) sin registrar y "&amp;J13&amp;" compra(s) sin pipa"))&amp;IF(COUNTIFS('Detalle pipas'!$A$5:$A$281,A13,'Detalle pipas'!$B$5:$B$281,B13,'Detalle pipas'!$M$5:$M$281,"No")&gt;0," · "&amp;COUNTIFS('Detalle pipas'!$A$5:$A$281,A13,'Detalle pipas'!$B$5:$B$281,B13,'Detalle pipas'!$M$5:$M$281,"No")&amp;" pipa(s) antes del inicio del reporte (no se cuentan)","")</f>
        <v>Falta el CSV de mermas de esta estación/producto</v>
      </c>
    </row>
    <row r="14" spans="1:11" x14ac:dyDescent="0.3">
      <c r="A14" s="6" t="s">
        <v>21</v>
      </c>
      <c r="B14" s="16" t="s">
        <v>10</v>
      </c>
      <c r="C14" s="32">
        <f>'Mermas mensual'!D5</f>
        <v>643188</v>
      </c>
      <c r="D14" s="22">
        <f>SUMIFS('Detalle pipas'!$G$5:$G$281,'Detalle pipas'!$A$5:$A$281,A14,'Detalle pipas'!$B$5:$B$281,B14,'Detalle pipas'!$M$5:$M$281,"Sí")</f>
        <v>676653</v>
      </c>
      <c r="E14" s="12">
        <f>COUNTIFS('Detalle pipas'!$A$5:$A$281,A14,'Detalle pipas'!$B$5:$B$281,B14,'Detalle pipas'!$M$5:$M$281,"Sí")</f>
        <v>20</v>
      </c>
      <c r="F14" s="18">
        <f t="shared" si="0"/>
        <v>-33465</v>
      </c>
      <c r="G14" s="11" t="str">
        <f>IF(NOT(ISNUMBER(C14)),"SIN REPORTE",IF(ABS(F14)&lt;=Parámetros!$C$8*MAX(1,E14),"CUADRA","NO CUADRA"))</f>
        <v>NO CUADRA</v>
      </c>
      <c r="H14" s="12">
        <f>COUNTIFS('Detalle pipas'!$A$5:$A$281,A14,'Detalle pipas'!$B$5:$B$281,B14,'Detalle pipas'!$L$5:$L$281,"NO REGISTRADA*")</f>
        <v>1</v>
      </c>
      <c r="I14" s="12">
        <f>COUNTIFS('Detalle pipas'!$A$5:$A$281,A14,'Detalle pipas'!$B$5:$B$281,B14,'Detalle pipas'!$L$5:$L$281,"Registrada con desfase*")</f>
        <v>7</v>
      </c>
      <c r="J14" s="12">
        <f>COUNTIFS('Compras sin pipa'!$A$5:$A$5,A14,'Compras sin pipa'!$B$5:$B$5,B14)+COUNTIFS('Registros manuales'!$A$5:$A$104,A14,'Registros manuales'!$B$5:$B$104,B14,'Registros manuales'!$G$5:$G$104,"SIN PIPA*")</f>
        <v>0</v>
      </c>
      <c r="K14" s="16" t="str">
        <f>IF(COUNTIFS('Detalle pipas'!$A$5:$A$281,A14,'Detalle pipas'!$B$5:$B$281,B14,'Detalle pipas'!$L$5:$L$281,"REGISTRO MANUAL*")&gt;0,"Incluye "&amp;COUNTIFS('Detalle pipas'!$A$5:$A$281,A14,'Detalle pipas'!$B$5:$B$281,B14,'Detalle pipas'!$L$5:$L$281,"REGISTRO MANUAL*")&amp;" registro(s) manual(es) · ","")&amp;IF(G14="SIN REPORTE","Falta el CSV de mermas de esta estación/producto",IF(G14="CUADRA",IF(I14&gt;0,"Cuadra en el mes; hay pipas registradas en otro día (ver Detalle pipas)","Todo en orden"),"Revisar: "&amp;H14&amp;" pipa(s) sin registrar y "&amp;J14&amp;" compra(s) sin pipa"))&amp;IF(COUNTIFS('Detalle pipas'!$A$5:$A$281,A14,'Detalle pipas'!$B$5:$B$281,B14,'Detalle pipas'!$M$5:$M$281,"No")&gt;0," · "&amp;COUNTIFS('Detalle pipas'!$A$5:$A$281,A14,'Detalle pipas'!$B$5:$B$281,B14,'Detalle pipas'!$M$5:$M$281,"No")&amp;" pipa(s) antes del inicio del reporte (no se cuentan)","")</f>
        <v>Revisar: 1 pipa(s) sin registrar y 0 compra(s) sin pipa</v>
      </c>
    </row>
    <row r="15" spans="1:11" x14ac:dyDescent="0.3">
      <c r="A15" s="6" t="s">
        <v>21</v>
      </c>
      <c r="B15" s="16" t="s">
        <v>11</v>
      </c>
      <c r="C15" s="32">
        <f>'Mermas mensual'!D6</f>
        <v>72049</v>
      </c>
      <c r="D15" s="22">
        <f>SUMIFS('Detalle pipas'!$G$5:$G$281,'Detalle pipas'!$A$5:$A$281,A15,'Detalle pipas'!$B$5:$B$281,B15,'Detalle pipas'!$M$5:$M$281,"Sí")</f>
        <v>72049</v>
      </c>
      <c r="E15" s="12">
        <f>COUNTIFS('Detalle pipas'!$A$5:$A$281,A15,'Detalle pipas'!$B$5:$B$281,B15,'Detalle pipas'!$M$5:$M$281,"Sí")</f>
        <v>2</v>
      </c>
      <c r="F15" s="18">
        <f t="shared" si="0"/>
        <v>0</v>
      </c>
      <c r="G15" s="11" t="str">
        <f>IF(NOT(ISNUMBER(C15)),"SIN REPORTE",IF(ABS(F15)&lt;=Parámetros!$C$8*MAX(1,E15),"CUADRA","NO CUADRA"))</f>
        <v>CUADRA</v>
      </c>
      <c r="H15" s="12">
        <f>COUNTIFS('Detalle pipas'!$A$5:$A$281,A15,'Detalle pipas'!$B$5:$B$281,B15,'Detalle pipas'!$L$5:$L$281,"NO REGISTRADA*")</f>
        <v>0</v>
      </c>
      <c r="I15" s="12">
        <f>COUNTIFS('Detalle pipas'!$A$5:$A$281,A15,'Detalle pipas'!$B$5:$B$281,B15,'Detalle pipas'!$L$5:$L$281,"Registrada con desfase*")</f>
        <v>2</v>
      </c>
      <c r="J15" s="12">
        <f>COUNTIFS('Compras sin pipa'!$A$5:$A$5,A15,'Compras sin pipa'!$B$5:$B$5,B15)+COUNTIFS('Registros manuales'!$A$5:$A$104,A15,'Registros manuales'!$B$5:$B$104,B15,'Registros manuales'!$G$5:$G$104,"SIN PIPA*")</f>
        <v>0</v>
      </c>
      <c r="K15" s="16" t="str">
        <f>IF(COUNTIFS('Detalle pipas'!$A$5:$A$281,A15,'Detalle pipas'!$B$5:$B$281,B15,'Detalle pipas'!$L$5:$L$281,"REGISTRO MANUAL*")&gt;0,"Incluye "&amp;COUNTIFS('Detalle pipas'!$A$5:$A$281,A15,'Detalle pipas'!$B$5:$B$281,B15,'Detalle pipas'!$L$5:$L$281,"REGISTRO MANUAL*")&amp;" registro(s) manual(es) · ","")&amp;IF(G15="SIN REPORTE","Falta el CSV de mermas de esta estación/producto",IF(G15="CUADRA",IF(I15&gt;0,"Cuadra en el mes; hay pipas registradas en otro día (ver Detalle pipas)","Todo en orden"),"Revisar: "&amp;H15&amp;" pipa(s) sin registrar y "&amp;J15&amp;" compra(s) sin pipa"))&amp;IF(COUNTIFS('Detalle pipas'!$A$5:$A$281,A15,'Detalle pipas'!$B$5:$B$281,B15,'Detalle pipas'!$M$5:$M$281,"No")&gt;0," · "&amp;COUNTIFS('Detalle pipas'!$A$5:$A$281,A15,'Detalle pipas'!$B$5:$B$281,B15,'Detalle pipas'!$M$5:$M$281,"No")&amp;" pipa(s) antes del inicio del reporte (no se cuentan)","")</f>
        <v>Cuadra en el mes; hay pipas registradas en otro día (ver Detalle pipas)</v>
      </c>
    </row>
    <row r="16" spans="1:11" x14ac:dyDescent="0.3">
      <c r="A16" s="6" t="s">
        <v>21</v>
      </c>
      <c r="B16" s="16" t="s">
        <v>12</v>
      </c>
      <c r="C16" s="32">
        <f>'Mermas mensual'!D7</f>
        <v>287001</v>
      </c>
      <c r="D16" s="22">
        <f>SUMIFS('Detalle pipas'!$G$5:$G$281,'Detalle pipas'!$A$5:$A$281,A16,'Detalle pipas'!$B$5:$B$281,B16,'Detalle pipas'!$M$5:$M$281,"Sí")</f>
        <v>287001</v>
      </c>
      <c r="E16" s="12">
        <f>COUNTIFS('Detalle pipas'!$A$5:$A$281,A16,'Detalle pipas'!$B$5:$B$281,B16,'Detalle pipas'!$M$5:$M$281,"Sí")</f>
        <v>8</v>
      </c>
      <c r="F16" s="18">
        <f t="shared" si="0"/>
        <v>0</v>
      </c>
      <c r="G16" s="11" t="str">
        <f>IF(NOT(ISNUMBER(C16)),"SIN REPORTE",IF(ABS(F16)&lt;=Parámetros!$C$8*MAX(1,E16),"CUADRA","NO CUADRA"))</f>
        <v>CUADRA</v>
      </c>
      <c r="H16" s="12">
        <f>COUNTIFS('Detalle pipas'!$A$5:$A$281,A16,'Detalle pipas'!$B$5:$B$281,B16,'Detalle pipas'!$L$5:$L$281,"NO REGISTRADA*")</f>
        <v>0</v>
      </c>
      <c r="I16" s="12">
        <f>COUNTIFS('Detalle pipas'!$A$5:$A$281,A16,'Detalle pipas'!$B$5:$B$281,B16,'Detalle pipas'!$L$5:$L$281,"Registrada con desfase*")</f>
        <v>3</v>
      </c>
      <c r="J16" s="12">
        <f>COUNTIFS('Compras sin pipa'!$A$5:$A$5,A16,'Compras sin pipa'!$B$5:$B$5,B16)+COUNTIFS('Registros manuales'!$A$5:$A$104,A16,'Registros manuales'!$B$5:$B$104,B16,'Registros manuales'!$G$5:$G$104,"SIN PIPA*")</f>
        <v>0</v>
      </c>
      <c r="K16" s="16" t="str">
        <f>IF(COUNTIFS('Detalle pipas'!$A$5:$A$281,A16,'Detalle pipas'!$B$5:$B$281,B16,'Detalle pipas'!$L$5:$L$281,"REGISTRO MANUAL*")&gt;0,"Incluye "&amp;COUNTIFS('Detalle pipas'!$A$5:$A$281,A16,'Detalle pipas'!$B$5:$B$281,B16,'Detalle pipas'!$L$5:$L$281,"REGISTRO MANUAL*")&amp;" registro(s) manual(es) · ","")&amp;IF(G16="SIN REPORTE","Falta el CSV de mermas de esta estación/producto",IF(G16="CUADRA",IF(I16&gt;0,"Cuadra en el mes; hay pipas registradas en otro día (ver Detalle pipas)","Todo en orden"),"Revisar: "&amp;H16&amp;" pipa(s) sin registrar y "&amp;J16&amp;" compra(s) sin pipa"))&amp;IF(COUNTIFS('Detalle pipas'!$A$5:$A$281,A16,'Detalle pipas'!$B$5:$B$281,B16,'Detalle pipas'!$M$5:$M$281,"No")&gt;0," · "&amp;COUNTIFS('Detalle pipas'!$A$5:$A$281,A16,'Detalle pipas'!$B$5:$B$281,B16,'Detalle pipas'!$M$5:$M$281,"No")&amp;" pipa(s) antes del inicio del reporte (no se cuentan)","")</f>
        <v>Cuadra en el mes; hay pipas registradas en otro día (ver Detalle pipas)</v>
      </c>
    </row>
    <row r="17" spans="1:11" x14ac:dyDescent="0.3">
      <c r="A17" s="6" t="s">
        <v>22</v>
      </c>
      <c r="B17" s="16" t="s">
        <v>10</v>
      </c>
      <c r="C17" s="11" t="s">
        <v>76</v>
      </c>
      <c r="D17" s="22">
        <f>SUMIFS('Detalle pipas'!$G$5:$G$281,'Detalle pipas'!$A$5:$A$281,A17,'Detalle pipas'!$B$5:$B$281,B17,'Detalle pipas'!$M$5:$M$281,"Sí")</f>
        <v>79772</v>
      </c>
      <c r="E17" s="12">
        <f>COUNTIFS('Detalle pipas'!$A$5:$A$281,A17,'Detalle pipas'!$B$5:$B$281,B17,'Detalle pipas'!$M$5:$M$281,"Sí")</f>
        <v>4</v>
      </c>
      <c r="F17" s="18" t="str">
        <f t="shared" si="0"/>
        <v/>
      </c>
      <c r="G17" s="11" t="str">
        <f>IF(NOT(ISNUMBER(C17)),"SIN REPORTE",IF(ABS(F17)&lt;=Parámetros!$C$8*MAX(1,E17),"CUADRA","NO CUADRA"))</f>
        <v>SIN REPORTE</v>
      </c>
      <c r="H17" s="12">
        <f>COUNTIFS('Detalle pipas'!$A$5:$A$281,A17,'Detalle pipas'!$B$5:$B$281,B17,'Detalle pipas'!$L$5:$L$281,"NO REGISTRADA*")</f>
        <v>0</v>
      </c>
      <c r="I17" s="12">
        <f>COUNTIFS('Detalle pipas'!$A$5:$A$281,A17,'Detalle pipas'!$B$5:$B$281,B17,'Detalle pipas'!$L$5:$L$281,"Registrada con desfase*")</f>
        <v>0</v>
      </c>
      <c r="J17" s="12">
        <f>COUNTIFS('Compras sin pipa'!$A$5:$A$5,A17,'Compras sin pipa'!$B$5:$B$5,B17)+COUNTIFS('Registros manuales'!$A$5:$A$104,A17,'Registros manuales'!$B$5:$B$104,B17,'Registros manuales'!$G$5:$G$104,"SIN PIPA*")</f>
        <v>0</v>
      </c>
      <c r="K17" s="16" t="str">
        <f>IF(COUNTIFS('Detalle pipas'!$A$5:$A$281,A17,'Detalle pipas'!$B$5:$B$281,B17,'Detalle pipas'!$L$5:$L$281,"REGISTRO MANUAL*")&gt;0,"Incluye "&amp;COUNTIFS('Detalle pipas'!$A$5:$A$281,A17,'Detalle pipas'!$B$5:$B$281,B17,'Detalle pipas'!$L$5:$L$281,"REGISTRO MANUAL*")&amp;" registro(s) manual(es) · ","")&amp;IF(G17="SIN REPORTE","Falta el CSV de mermas de esta estación/producto",IF(G17="CUADRA",IF(I17&gt;0,"Cuadra en el mes; hay pipas registradas en otro día (ver Detalle pipas)","Todo en orden"),"Revisar: "&amp;H17&amp;" pipa(s) sin registrar y "&amp;J17&amp;" compra(s) sin pipa"))&amp;IF(COUNTIFS('Detalle pipas'!$A$5:$A$281,A17,'Detalle pipas'!$B$5:$B$281,B17,'Detalle pipas'!$M$5:$M$281,"No")&gt;0," · "&amp;COUNTIFS('Detalle pipas'!$A$5:$A$281,A17,'Detalle pipas'!$B$5:$B$281,B17,'Detalle pipas'!$M$5:$M$281,"No")&amp;" pipa(s) antes del inicio del reporte (no se cuentan)","")</f>
        <v>Falta el CSV de mermas de esta estación/producto</v>
      </c>
    </row>
    <row r="18" spans="1:11" x14ac:dyDescent="0.3">
      <c r="A18" s="6" t="s">
        <v>22</v>
      </c>
      <c r="B18" s="16" t="s">
        <v>11</v>
      </c>
      <c r="C18" s="11" t="s">
        <v>76</v>
      </c>
      <c r="D18" s="22">
        <f>SUMIFS('Detalle pipas'!$G$5:$G$281,'Detalle pipas'!$A$5:$A$281,A18,'Detalle pipas'!$B$5:$B$281,B18,'Detalle pipas'!$M$5:$M$281,"Sí")</f>
        <v>10087</v>
      </c>
      <c r="E18" s="12">
        <f>COUNTIFS('Detalle pipas'!$A$5:$A$281,A18,'Detalle pipas'!$B$5:$B$281,B18,'Detalle pipas'!$M$5:$M$281,"Sí")</f>
        <v>1</v>
      </c>
      <c r="F18" s="18" t="str">
        <f t="shared" si="0"/>
        <v/>
      </c>
      <c r="G18" s="11" t="str">
        <f>IF(NOT(ISNUMBER(C18)),"SIN REPORTE",IF(ABS(F18)&lt;=Parámetros!$C$8*MAX(1,E18),"CUADRA","NO CUADRA"))</f>
        <v>SIN REPORTE</v>
      </c>
      <c r="H18" s="12">
        <f>COUNTIFS('Detalle pipas'!$A$5:$A$281,A18,'Detalle pipas'!$B$5:$B$281,B18,'Detalle pipas'!$L$5:$L$281,"NO REGISTRADA*")</f>
        <v>0</v>
      </c>
      <c r="I18" s="12">
        <f>COUNTIFS('Detalle pipas'!$A$5:$A$281,A18,'Detalle pipas'!$B$5:$B$281,B18,'Detalle pipas'!$L$5:$L$281,"Registrada con desfase*")</f>
        <v>0</v>
      </c>
      <c r="J18" s="12">
        <f>COUNTIFS('Compras sin pipa'!$A$5:$A$5,A18,'Compras sin pipa'!$B$5:$B$5,B18)+COUNTIFS('Registros manuales'!$A$5:$A$104,A18,'Registros manuales'!$B$5:$B$104,B18,'Registros manuales'!$G$5:$G$104,"SIN PIPA*")</f>
        <v>0</v>
      </c>
      <c r="K18" s="16" t="str">
        <f>IF(COUNTIFS('Detalle pipas'!$A$5:$A$281,A18,'Detalle pipas'!$B$5:$B$281,B18,'Detalle pipas'!$L$5:$L$281,"REGISTRO MANUAL*")&gt;0,"Incluye "&amp;COUNTIFS('Detalle pipas'!$A$5:$A$281,A18,'Detalle pipas'!$B$5:$B$281,B18,'Detalle pipas'!$L$5:$L$281,"REGISTRO MANUAL*")&amp;" registro(s) manual(es) · ","")&amp;IF(G18="SIN REPORTE","Falta el CSV de mermas de esta estación/producto",IF(G18="CUADRA",IF(I18&gt;0,"Cuadra en el mes; hay pipas registradas en otro día (ver Detalle pipas)","Todo en orden"),"Revisar: "&amp;H18&amp;" pipa(s) sin registrar y "&amp;J18&amp;" compra(s) sin pipa"))&amp;IF(COUNTIFS('Detalle pipas'!$A$5:$A$281,A18,'Detalle pipas'!$B$5:$B$281,B18,'Detalle pipas'!$M$5:$M$281,"No")&gt;0," · "&amp;COUNTIFS('Detalle pipas'!$A$5:$A$281,A18,'Detalle pipas'!$B$5:$B$281,B18,'Detalle pipas'!$M$5:$M$281,"No")&amp;" pipa(s) antes del inicio del reporte (no se cuentan)","")</f>
        <v>Falta el CSV de mermas de esta estación/producto</v>
      </c>
    </row>
    <row r="19" spans="1:11" x14ac:dyDescent="0.3">
      <c r="A19" s="6" t="s">
        <v>22</v>
      </c>
      <c r="B19" s="16" t="s">
        <v>12</v>
      </c>
      <c r="C19" s="11" t="s">
        <v>76</v>
      </c>
      <c r="D19" s="22">
        <f>SUMIFS('Detalle pipas'!$G$5:$G$281,'Detalle pipas'!$A$5:$A$281,A19,'Detalle pipas'!$B$5:$B$281,B19,'Detalle pipas'!$M$5:$M$281,"Sí")</f>
        <v>89916</v>
      </c>
      <c r="E19" s="12">
        <f>COUNTIFS('Detalle pipas'!$A$5:$A$281,A19,'Detalle pipas'!$B$5:$B$281,B19,'Detalle pipas'!$M$5:$M$281,"Sí")</f>
        <v>4</v>
      </c>
      <c r="F19" s="18" t="str">
        <f t="shared" si="0"/>
        <v/>
      </c>
      <c r="G19" s="11" t="str">
        <f>IF(NOT(ISNUMBER(C19)),"SIN REPORTE",IF(ABS(F19)&lt;=Parámetros!$C$8*MAX(1,E19),"CUADRA","NO CUADRA"))</f>
        <v>SIN REPORTE</v>
      </c>
      <c r="H19" s="12">
        <f>COUNTIFS('Detalle pipas'!$A$5:$A$281,A19,'Detalle pipas'!$B$5:$B$281,B19,'Detalle pipas'!$L$5:$L$281,"NO REGISTRADA*")</f>
        <v>0</v>
      </c>
      <c r="I19" s="12">
        <f>COUNTIFS('Detalle pipas'!$A$5:$A$281,A19,'Detalle pipas'!$B$5:$B$281,B19,'Detalle pipas'!$L$5:$L$281,"Registrada con desfase*")</f>
        <v>0</v>
      </c>
      <c r="J19" s="12">
        <f>COUNTIFS('Compras sin pipa'!$A$5:$A$5,A19,'Compras sin pipa'!$B$5:$B$5,B19)+COUNTIFS('Registros manuales'!$A$5:$A$104,A19,'Registros manuales'!$B$5:$B$104,B19,'Registros manuales'!$G$5:$G$104,"SIN PIPA*")</f>
        <v>0</v>
      </c>
      <c r="K19" s="16" t="str">
        <f>IF(COUNTIFS('Detalle pipas'!$A$5:$A$281,A19,'Detalle pipas'!$B$5:$B$281,B19,'Detalle pipas'!$L$5:$L$281,"REGISTRO MANUAL*")&gt;0,"Incluye "&amp;COUNTIFS('Detalle pipas'!$A$5:$A$281,A19,'Detalle pipas'!$B$5:$B$281,B19,'Detalle pipas'!$L$5:$L$281,"REGISTRO MANUAL*")&amp;" registro(s) manual(es) · ","")&amp;IF(G19="SIN REPORTE","Falta el CSV de mermas de esta estación/producto",IF(G19="CUADRA",IF(I19&gt;0,"Cuadra en el mes; hay pipas registradas en otro día (ver Detalle pipas)","Todo en orden"),"Revisar: "&amp;H19&amp;" pipa(s) sin registrar y "&amp;J19&amp;" compra(s) sin pipa"))&amp;IF(COUNTIFS('Detalle pipas'!$A$5:$A$281,A19,'Detalle pipas'!$B$5:$B$281,B19,'Detalle pipas'!$M$5:$M$281,"No")&gt;0," · "&amp;COUNTIFS('Detalle pipas'!$A$5:$A$281,A19,'Detalle pipas'!$B$5:$B$281,B19,'Detalle pipas'!$M$5:$M$281,"No")&amp;" pipa(s) antes del inicio del reporte (no se cuentan)","")</f>
        <v>Falta el CSV de mermas de esta estación/producto</v>
      </c>
    </row>
    <row r="20" spans="1:11" x14ac:dyDescent="0.3">
      <c r="A20" s="6" t="s">
        <v>23</v>
      </c>
      <c r="B20" s="16" t="s">
        <v>10</v>
      </c>
      <c r="C20" s="32">
        <f>'Mermas mensual'!D8</f>
        <v>512270</v>
      </c>
      <c r="D20" s="22">
        <f>SUMIFS('Detalle pipas'!$G$5:$G$281,'Detalle pipas'!$A$5:$A$281,A20,'Detalle pipas'!$B$5:$B$281,B20,'Detalle pipas'!$M$5:$M$281,"Sí")</f>
        <v>512270</v>
      </c>
      <c r="E20" s="12">
        <f>COUNTIFS('Detalle pipas'!$A$5:$A$281,A20,'Detalle pipas'!$B$5:$B$281,B20,'Detalle pipas'!$M$5:$M$281,"Sí")</f>
        <v>17</v>
      </c>
      <c r="F20" s="18">
        <f t="shared" si="0"/>
        <v>0</v>
      </c>
      <c r="G20" s="11" t="str">
        <f>IF(NOT(ISNUMBER(C20)),"SIN REPORTE",IF(ABS(F20)&lt;=Parámetros!$C$8*MAX(1,E20),"CUADRA","NO CUADRA"))</f>
        <v>CUADRA</v>
      </c>
      <c r="H20" s="12">
        <f>COUNTIFS('Detalle pipas'!$A$5:$A$281,A20,'Detalle pipas'!$B$5:$B$281,B20,'Detalle pipas'!$L$5:$L$281,"NO REGISTRADA*")</f>
        <v>0</v>
      </c>
      <c r="I20" s="12">
        <f>COUNTIFS('Detalle pipas'!$A$5:$A$281,A20,'Detalle pipas'!$B$5:$B$281,B20,'Detalle pipas'!$L$5:$L$281,"Registrada con desfase*")</f>
        <v>2</v>
      </c>
      <c r="J20" s="12">
        <f>COUNTIFS('Compras sin pipa'!$A$5:$A$5,A20,'Compras sin pipa'!$B$5:$B$5,B20)+COUNTIFS('Registros manuales'!$A$5:$A$104,A20,'Registros manuales'!$B$5:$B$104,B20,'Registros manuales'!$G$5:$G$104,"SIN PIPA*")</f>
        <v>0</v>
      </c>
      <c r="K20" s="16" t="str">
        <f>IF(COUNTIFS('Detalle pipas'!$A$5:$A$281,A20,'Detalle pipas'!$B$5:$B$281,B20,'Detalle pipas'!$L$5:$L$281,"REGISTRO MANUAL*")&gt;0,"Incluye "&amp;COUNTIFS('Detalle pipas'!$A$5:$A$281,A20,'Detalle pipas'!$B$5:$B$281,B20,'Detalle pipas'!$L$5:$L$281,"REGISTRO MANUAL*")&amp;" registro(s) manual(es) · ","")&amp;IF(G20="SIN REPORTE","Falta el CSV de mermas de esta estación/producto",IF(G20="CUADRA",IF(I20&gt;0,"Cuadra en el mes; hay pipas registradas en otro día (ver Detalle pipas)","Todo en orden"),"Revisar: "&amp;H20&amp;" pipa(s) sin registrar y "&amp;J20&amp;" compra(s) sin pipa"))&amp;IF(COUNTIFS('Detalle pipas'!$A$5:$A$281,A20,'Detalle pipas'!$B$5:$B$281,B20,'Detalle pipas'!$M$5:$M$281,"No")&gt;0," · "&amp;COUNTIFS('Detalle pipas'!$A$5:$A$281,A20,'Detalle pipas'!$B$5:$B$281,B20,'Detalle pipas'!$M$5:$M$281,"No")&amp;" pipa(s) antes del inicio del reporte (no se cuentan)","")</f>
        <v>Cuadra en el mes; hay pipas registradas en otro día (ver Detalle pipas)</v>
      </c>
    </row>
    <row r="21" spans="1:11" x14ac:dyDescent="0.3">
      <c r="A21" s="6" t="s">
        <v>23</v>
      </c>
      <c r="B21" s="16" t="s">
        <v>11</v>
      </c>
      <c r="C21" s="32">
        <f>'Mermas mensual'!D9</f>
        <v>60101</v>
      </c>
      <c r="D21" s="22">
        <f>SUMIFS('Detalle pipas'!$G$5:$G$281,'Detalle pipas'!$A$5:$A$281,A21,'Detalle pipas'!$B$5:$B$281,B21,'Detalle pipas'!$M$5:$M$281,"Sí")</f>
        <v>60101</v>
      </c>
      <c r="E21" s="12">
        <f>COUNTIFS('Detalle pipas'!$A$5:$A$281,A21,'Detalle pipas'!$B$5:$B$281,B21,'Detalle pipas'!$M$5:$M$281,"Sí")</f>
        <v>3</v>
      </c>
      <c r="F21" s="18">
        <f t="shared" si="0"/>
        <v>0</v>
      </c>
      <c r="G21" s="11" t="str">
        <f>IF(NOT(ISNUMBER(C21)),"SIN REPORTE",IF(ABS(F21)&lt;=Parámetros!$C$8*MAX(1,E21),"CUADRA","NO CUADRA"))</f>
        <v>CUADRA</v>
      </c>
      <c r="H21" s="12">
        <f>COUNTIFS('Detalle pipas'!$A$5:$A$281,A21,'Detalle pipas'!$B$5:$B$281,B21,'Detalle pipas'!$L$5:$L$281,"NO REGISTRADA*")</f>
        <v>0</v>
      </c>
      <c r="I21" s="12">
        <f>COUNTIFS('Detalle pipas'!$A$5:$A$281,A21,'Detalle pipas'!$B$5:$B$281,B21,'Detalle pipas'!$L$5:$L$281,"Registrada con desfase*")</f>
        <v>0</v>
      </c>
      <c r="J21" s="12">
        <f>COUNTIFS('Compras sin pipa'!$A$5:$A$5,A21,'Compras sin pipa'!$B$5:$B$5,B21)+COUNTIFS('Registros manuales'!$A$5:$A$104,A21,'Registros manuales'!$B$5:$B$104,B21,'Registros manuales'!$G$5:$G$104,"SIN PIPA*")</f>
        <v>0</v>
      </c>
      <c r="K21" s="16" t="str">
        <f>IF(COUNTIFS('Detalle pipas'!$A$5:$A$281,A21,'Detalle pipas'!$B$5:$B$281,B21,'Detalle pipas'!$L$5:$L$281,"REGISTRO MANUAL*")&gt;0,"Incluye "&amp;COUNTIFS('Detalle pipas'!$A$5:$A$281,A21,'Detalle pipas'!$B$5:$B$281,B21,'Detalle pipas'!$L$5:$L$281,"REGISTRO MANUAL*")&amp;" registro(s) manual(es) · ","")&amp;IF(G21="SIN REPORTE","Falta el CSV de mermas de esta estación/producto",IF(G21="CUADRA",IF(I21&gt;0,"Cuadra en el mes; hay pipas registradas en otro día (ver Detalle pipas)","Todo en orden"),"Revisar: "&amp;H21&amp;" pipa(s) sin registrar y "&amp;J21&amp;" compra(s) sin pipa"))&amp;IF(COUNTIFS('Detalle pipas'!$A$5:$A$281,A21,'Detalle pipas'!$B$5:$B$281,B21,'Detalle pipas'!$M$5:$M$281,"No")&gt;0," · "&amp;COUNTIFS('Detalle pipas'!$A$5:$A$281,A21,'Detalle pipas'!$B$5:$B$281,B21,'Detalle pipas'!$M$5:$M$281,"No")&amp;" pipa(s) antes del inicio del reporte (no se cuentan)","")</f>
        <v>Todo en orden</v>
      </c>
    </row>
    <row r="22" spans="1:11" x14ac:dyDescent="0.3">
      <c r="A22" s="6" t="s">
        <v>23</v>
      </c>
      <c r="B22" s="16" t="s">
        <v>12</v>
      </c>
      <c r="C22" s="32">
        <f>'Mermas mensual'!D10</f>
        <v>272939</v>
      </c>
      <c r="D22" s="22">
        <f>SUMIFS('Detalle pipas'!$G$5:$G$281,'Detalle pipas'!$A$5:$A$281,A22,'Detalle pipas'!$B$5:$B$281,B22,'Detalle pipas'!$M$5:$M$281,"Sí")</f>
        <v>272939</v>
      </c>
      <c r="E22" s="12">
        <f>COUNTIFS('Detalle pipas'!$A$5:$A$281,A22,'Detalle pipas'!$B$5:$B$281,B22,'Detalle pipas'!$M$5:$M$281,"Sí")</f>
        <v>9</v>
      </c>
      <c r="F22" s="18">
        <f t="shared" si="0"/>
        <v>0</v>
      </c>
      <c r="G22" s="11" t="str">
        <f>IF(NOT(ISNUMBER(C22)),"SIN REPORTE",IF(ABS(F22)&lt;=Parámetros!$C$8*MAX(1,E22),"CUADRA","NO CUADRA"))</f>
        <v>CUADRA</v>
      </c>
      <c r="H22" s="12">
        <f>COUNTIFS('Detalle pipas'!$A$5:$A$281,A22,'Detalle pipas'!$B$5:$B$281,B22,'Detalle pipas'!$L$5:$L$281,"NO REGISTRADA*")</f>
        <v>0</v>
      </c>
      <c r="I22" s="12">
        <f>COUNTIFS('Detalle pipas'!$A$5:$A$281,A22,'Detalle pipas'!$B$5:$B$281,B22,'Detalle pipas'!$L$5:$L$281,"Registrada con desfase*")</f>
        <v>2</v>
      </c>
      <c r="J22" s="12">
        <f>COUNTIFS('Compras sin pipa'!$A$5:$A$5,A22,'Compras sin pipa'!$B$5:$B$5,B22)+COUNTIFS('Registros manuales'!$A$5:$A$104,A22,'Registros manuales'!$B$5:$B$104,B22,'Registros manuales'!$G$5:$G$104,"SIN PIPA*")</f>
        <v>0</v>
      </c>
      <c r="K22" s="16" t="str">
        <f>IF(COUNTIFS('Detalle pipas'!$A$5:$A$281,A22,'Detalle pipas'!$B$5:$B$281,B22,'Detalle pipas'!$L$5:$L$281,"REGISTRO MANUAL*")&gt;0,"Incluye "&amp;COUNTIFS('Detalle pipas'!$A$5:$A$281,A22,'Detalle pipas'!$B$5:$B$281,B22,'Detalle pipas'!$L$5:$L$281,"REGISTRO MANUAL*")&amp;" registro(s) manual(es) · ","")&amp;IF(G22="SIN REPORTE","Falta el CSV de mermas de esta estación/producto",IF(G22="CUADRA",IF(I22&gt;0,"Cuadra en el mes; hay pipas registradas en otro día (ver Detalle pipas)","Todo en orden"),"Revisar: "&amp;H22&amp;" pipa(s) sin registrar y "&amp;J22&amp;" compra(s) sin pipa"))&amp;IF(COUNTIFS('Detalle pipas'!$A$5:$A$281,A22,'Detalle pipas'!$B$5:$B$281,B22,'Detalle pipas'!$M$5:$M$281,"No")&gt;0," · "&amp;COUNTIFS('Detalle pipas'!$A$5:$A$281,A22,'Detalle pipas'!$B$5:$B$281,B22,'Detalle pipas'!$M$5:$M$281,"No")&amp;" pipa(s) antes del inicio del reporte (no se cuentan)","")</f>
        <v>Cuadra en el mes; hay pipas registradas en otro día (ver Detalle pipas)</v>
      </c>
    </row>
    <row r="23" spans="1:11" x14ac:dyDescent="0.3">
      <c r="A23" s="6" t="s">
        <v>24</v>
      </c>
      <c r="B23" s="16" t="s">
        <v>10</v>
      </c>
      <c r="C23" s="32">
        <f>'Mermas mensual'!D11</f>
        <v>579699</v>
      </c>
      <c r="D23" s="22">
        <f>SUMIFS('Detalle pipas'!$G$5:$G$281,'Detalle pipas'!$A$5:$A$281,A23,'Detalle pipas'!$B$5:$B$281,B23,'Detalle pipas'!$M$5:$M$281,"Sí")</f>
        <v>579699</v>
      </c>
      <c r="E23" s="12">
        <f>COUNTIFS('Detalle pipas'!$A$5:$A$281,A23,'Detalle pipas'!$B$5:$B$281,B23,'Detalle pipas'!$M$5:$M$281,"Sí")</f>
        <v>20</v>
      </c>
      <c r="F23" s="18">
        <f t="shared" si="0"/>
        <v>0</v>
      </c>
      <c r="G23" s="11" t="str">
        <f>IF(NOT(ISNUMBER(C23)),"SIN REPORTE",IF(ABS(F23)&lt;=Parámetros!$C$8*MAX(1,E23),"CUADRA","NO CUADRA"))</f>
        <v>CUADRA</v>
      </c>
      <c r="H23" s="12">
        <f>COUNTIFS('Detalle pipas'!$A$5:$A$281,A23,'Detalle pipas'!$B$5:$B$281,B23,'Detalle pipas'!$L$5:$L$281,"NO REGISTRADA*")</f>
        <v>0</v>
      </c>
      <c r="I23" s="12">
        <f>COUNTIFS('Detalle pipas'!$A$5:$A$281,A23,'Detalle pipas'!$B$5:$B$281,B23,'Detalle pipas'!$L$5:$L$281,"Registrada con desfase*")</f>
        <v>0</v>
      </c>
      <c r="J23" s="12">
        <f>COUNTIFS('Compras sin pipa'!$A$5:$A$5,A23,'Compras sin pipa'!$B$5:$B$5,B23)+COUNTIFS('Registros manuales'!$A$5:$A$104,A23,'Registros manuales'!$B$5:$B$104,B23,'Registros manuales'!$G$5:$G$104,"SIN PIPA*")</f>
        <v>0</v>
      </c>
      <c r="K23" s="16" t="str">
        <f>IF(COUNTIFS('Detalle pipas'!$A$5:$A$281,A23,'Detalle pipas'!$B$5:$B$281,B23,'Detalle pipas'!$L$5:$L$281,"REGISTRO MANUAL*")&gt;0,"Incluye "&amp;COUNTIFS('Detalle pipas'!$A$5:$A$281,A23,'Detalle pipas'!$B$5:$B$281,B23,'Detalle pipas'!$L$5:$L$281,"REGISTRO MANUAL*")&amp;" registro(s) manual(es) · ","")&amp;IF(G23="SIN REPORTE","Falta el CSV de mermas de esta estación/producto",IF(G23="CUADRA",IF(I23&gt;0,"Cuadra en el mes; hay pipas registradas en otro día (ver Detalle pipas)","Todo en orden"),"Revisar: "&amp;H23&amp;" pipa(s) sin registrar y "&amp;J23&amp;" compra(s) sin pipa"))&amp;IF(COUNTIFS('Detalle pipas'!$A$5:$A$281,A23,'Detalle pipas'!$B$5:$B$281,B23,'Detalle pipas'!$M$5:$M$281,"No")&gt;0," · "&amp;COUNTIFS('Detalle pipas'!$A$5:$A$281,A23,'Detalle pipas'!$B$5:$B$281,B23,'Detalle pipas'!$M$5:$M$281,"No")&amp;" pipa(s) antes del inicio del reporte (no se cuentan)","")</f>
        <v>Todo en orden</v>
      </c>
    </row>
    <row r="24" spans="1:11" x14ac:dyDescent="0.3">
      <c r="A24" s="6" t="s">
        <v>24</v>
      </c>
      <c r="B24" s="16" t="s">
        <v>11</v>
      </c>
      <c r="C24" s="32">
        <f>'Mermas mensual'!D12</f>
        <v>300298</v>
      </c>
      <c r="D24" s="22">
        <f>SUMIFS('Detalle pipas'!$G$5:$G$281,'Detalle pipas'!$A$5:$A$281,A24,'Detalle pipas'!$B$5:$B$281,B24,'Detalle pipas'!$M$5:$M$281,"Sí")</f>
        <v>300298</v>
      </c>
      <c r="E24" s="12">
        <f>COUNTIFS('Detalle pipas'!$A$5:$A$281,A24,'Detalle pipas'!$B$5:$B$281,B24,'Detalle pipas'!$M$5:$M$281,"Sí")</f>
        <v>9</v>
      </c>
      <c r="F24" s="18">
        <f t="shared" si="0"/>
        <v>0</v>
      </c>
      <c r="G24" s="11" t="str">
        <f>IF(NOT(ISNUMBER(C24)),"SIN REPORTE",IF(ABS(F24)&lt;=Parámetros!$C$8*MAX(1,E24),"CUADRA","NO CUADRA"))</f>
        <v>CUADRA</v>
      </c>
      <c r="H24" s="12">
        <f>COUNTIFS('Detalle pipas'!$A$5:$A$281,A24,'Detalle pipas'!$B$5:$B$281,B24,'Detalle pipas'!$L$5:$L$281,"NO REGISTRADA*")</f>
        <v>0</v>
      </c>
      <c r="I24" s="12">
        <f>COUNTIFS('Detalle pipas'!$A$5:$A$281,A24,'Detalle pipas'!$B$5:$B$281,B24,'Detalle pipas'!$L$5:$L$281,"Registrada con desfase*")</f>
        <v>0</v>
      </c>
      <c r="J24" s="12">
        <f>COUNTIFS('Compras sin pipa'!$A$5:$A$5,A24,'Compras sin pipa'!$B$5:$B$5,B24)+COUNTIFS('Registros manuales'!$A$5:$A$104,A24,'Registros manuales'!$B$5:$B$104,B24,'Registros manuales'!$G$5:$G$104,"SIN PIPA*")</f>
        <v>0</v>
      </c>
      <c r="K24" s="16" t="str">
        <f>IF(COUNTIFS('Detalle pipas'!$A$5:$A$281,A24,'Detalle pipas'!$B$5:$B$281,B24,'Detalle pipas'!$L$5:$L$281,"REGISTRO MANUAL*")&gt;0,"Incluye "&amp;COUNTIFS('Detalle pipas'!$A$5:$A$281,A24,'Detalle pipas'!$B$5:$B$281,B24,'Detalle pipas'!$L$5:$L$281,"REGISTRO MANUAL*")&amp;" registro(s) manual(es) · ","")&amp;IF(G24="SIN REPORTE","Falta el CSV de mermas de esta estación/producto",IF(G24="CUADRA",IF(I24&gt;0,"Cuadra en el mes; hay pipas registradas en otro día (ver Detalle pipas)","Todo en orden"),"Revisar: "&amp;H24&amp;" pipa(s) sin registrar y "&amp;J24&amp;" compra(s) sin pipa"))&amp;IF(COUNTIFS('Detalle pipas'!$A$5:$A$281,A24,'Detalle pipas'!$B$5:$B$281,B24,'Detalle pipas'!$M$5:$M$281,"No")&gt;0," · "&amp;COUNTIFS('Detalle pipas'!$A$5:$A$281,A24,'Detalle pipas'!$B$5:$B$281,B24,'Detalle pipas'!$M$5:$M$281,"No")&amp;" pipa(s) antes del inicio del reporte (no se cuentan)","")</f>
        <v>Todo en orden</v>
      </c>
    </row>
    <row r="25" spans="1:11" x14ac:dyDescent="0.3">
      <c r="A25" s="6" t="s">
        <v>24</v>
      </c>
      <c r="B25" s="16" t="s">
        <v>12</v>
      </c>
      <c r="C25" s="32">
        <f>'Mermas mensual'!D13</f>
        <v>877365</v>
      </c>
      <c r="D25" s="22">
        <f>SUMIFS('Detalle pipas'!$G$5:$G$281,'Detalle pipas'!$A$5:$A$281,A25,'Detalle pipas'!$B$5:$B$281,B25,'Detalle pipas'!$M$5:$M$281,"Sí")</f>
        <v>877365</v>
      </c>
      <c r="E25" s="12">
        <f>COUNTIFS('Detalle pipas'!$A$5:$A$281,A25,'Detalle pipas'!$B$5:$B$281,B25,'Detalle pipas'!$M$5:$M$281,"Sí")</f>
        <v>27</v>
      </c>
      <c r="F25" s="18">
        <f t="shared" si="0"/>
        <v>0</v>
      </c>
      <c r="G25" s="11" t="str">
        <f>IF(NOT(ISNUMBER(C25)),"SIN REPORTE",IF(ABS(F25)&lt;=Parámetros!$C$8*MAX(1,E25),"CUADRA","NO CUADRA"))</f>
        <v>CUADRA</v>
      </c>
      <c r="H25" s="12">
        <f>COUNTIFS('Detalle pipas'!$A$5:$A$281,A25,'Detalle pipas'!$B$5:$B$281,B25,'Detalle pipas'!$L$5:$L$281,"NO REGISTRADA*")</f>
        <v>0</v>
      </c>
      <c r="I25" s="12">
        <f>COUNTIFS('Detalle pipas'!$A$5:$A$281,A25,'Detalle pipas'!$B$5:$B$281,B25,'Detalle pipas'!$L$5:$L$281,"Registrada con desfase*")</f>
        <v>0</v>
      </c>
      <c r="J25" s="12">
        <f>COUNTIFS('Compras sin pipa'!$A$5:$A$5,A25,'Compras sin pipa'!$B$5:$B$5,B25)+COUNTIFS('Registros manuales'!$A$5:$A$104,A25,'Registros manuales'!$B$5:$B$104,B25,'Registros manuales'!$G$5:$G$104,"SIN PIPA*")</f>
        <v>0</v>
      </c>
      <c r="K25" s="16" t="str">
        <f>IF(COUNTIFS('Detalle pipas'!$A$5:$A$281,A25,'Detalle pipas'!$B$5:$B$281,B25,'Detalle pipas'!$L$5:$L$281,"REGISTRO MANUAL*")&gt;0,"Incluye "&amp;COUNTIFS('Detalle pipas'!$A$5:$A$281,A25,'Detalle pipas'!$B$5:$B$281,B25,'Detalle pipas'!$L$5:$L$281,"REGISTRO MANUAL*")&amp;" registro(s) manual(es) · ","")&amp;IF(G25="SIN REPORTE","Falta el CSV de mermas de esta estación/producto",IF(G25="CUADRA",IF(I25&gt;0,"Cuadra en el mes; hay pipas registradas en otro día (ver Detalle pipas)","Todo en orden"),"Revisar: "&amp;H25&amp;" pipa(s) sin registrar y "&amp;J25&amp;" compra(s) sin pipa"))&amp;IF(COUNTIFS('Detalle pipas'!$A$5:$A$281,A25,'Detalle pipas'!$B$5:$B$281,B25,'Detalle pipas'!$M$5:$M$281,"No")&gt;0," · "&amp;COUNTIFS('Detalle pipas'!$A$5:$A$281,A25,'Detalle pipas'!$B$5:$B$281,B25,'Detalle pipas'!$M$5:$M$281,"No")&amp;" pipa(s) antes del inicio del reporte (no se cuentan)","")</f>
        <v>Todo en orden</v>
      </c>
    </row>
    <row r="26" spans="1:11" x14ac:dyDescent="0.3">
      <c r="A26" s="6" t="s">
        <v>25</v>
      </c>
      <c r="B26" s="16" t="s">
        <v>10</v>
      </c>
      <c r="C26" s="32">
        <f>'Mermas mensual'!D14</f>
        <v>332823</v>
      </c>
      <c r="D26" s="22">
        <f>SUMIFS('Detalle pipas'!$G$5:$G$281,'Detalle pipas'!$A$5:$A$281,A26,'Detalle pipas'!$B$5:$B$281,B26,'Detalle pipas'!$M$5:$M$281,"Sí")</f>
        <v>332823</v>
      </c>
      <c r="E26" s="12">
        <f>COUNTIFS('Detalle pipas'!$A$5:$A$281,A26,'Detalle pipas'!$B$5:$B$281,B26,'Detalle pipas'!$M$5:$M$281,"Sí")</f>
        <v>11</v>
      </c>
      <c r="F26" s="18">
        <f t="shared" si="0"/>
        <v>0</v>
      </c>
      <c r="G26" s="11" t="str">
        <f>IF(NOT(ISNUMBER(C26)),"SIN REPORTE",IF(ABS(F26)&lt;=Parámetros!$C$8*MAX(1,E26),"CUADRA","NO CUADRA"))</f>
        <v>CUADRA</v>
      </c>
      <c r="H26" s="12">
        <f>COUNTIFS('Detalle pipas'!$A$5:$A$281,A26,'Detalle pipas'!$B$5:$B$281,B26,'Detalle pipas'!$L$5:$L$281,"NO REGISTRADA*")</f>
        <v>0</v>
      </c>
      <c r="I26" s="12">
        <f>COUNTIFS('Detalle pipas'!$A$5:$A$281,A26,'Detalle pipas'!$B$5:$B$281,B26,'Detalle pipas'!$L$5:$L$281,"Registrada con desfase*")</f>
        <v>0</v>
      </c>
      <c r="J26" s="12">
        <f>COUNTIFS('Compras sin pipa'!$A$5:$A$5,A26,'Compras sin pipa'!$B$5:$B$5,B26)+COUNTIFS('Registros manuales'!$A$5:$A$104,A26,'Registros manuales'!$B$5:$B$104,B26,'Registros manuales'!$G$5:$G$104,"SIN PIPA*")</f>
        <v>0</v>
      </c>
      <c r="K26" s="16" t="str">
        <f>IF(COUNTIFS('Detalle pipas'!$A$5:$A$281,A26,'Detalle pipas'!$B$5:$B$281,B26,'Detalle pipas'!$L$5:$L$281,"REGISTRO MANUAL*")&gt;0,"Incluye "&amp;COUNTIFS('Detalle pipas'!$A$5:$A$281,A26,'Detalle pipas'!$B$5:$B$281,B26,'Detalle pipas'!$L$5:$L$281,"REGISTRO MANUAL*")&amp;" registro(s) manual(es) · ","")&amp;IF(G26="SIN REPORTE","Falta el CSV de mermas de esta estación/producto",IF(G26="CUADRA",IF(I26&gt;0,"Cuadra en el mes; hay pipas registradas en otro día (ver Detalle pipas)","Todo en orden"),"Revisar: "&amp;H26&amp;" pipa(s) sin registrar y "&amp;J26&amp;" compra(s) sin pipa"))&amp;IF(COUNTIFS('Detalle pipas'!$A$5:$A$281,A26,'Detalle pipas'!$B$5:$B$281,B26,'Detalle pipas'!$M$5:$M$281,"No")&gt;0," · "&amp;COUNTIFS('Detalle pipas'!$A$5:$A$281,A26,'Detalle pipas'!$B$5:$B$281,B26,'Detalle pipas'!$M$5:$M$281,"No")&amp;" pipa(s) antes del inicio del reporte (no se cuentan)","")</f>
        <v>Todo en orden · 2 pipa(s) antes del inicio del reporte (no se cuentan)</v>
      </c>
    </row>
    <row r="27" spans="1:11" x14ac:dyDescent="0.3">
      <c r="A27" s="6" t="s">
        <v>25</v>
      </c>
      <c r="B27" s="16" t="s">
        <v>11</v>
      </c>
      <c r="C27" s="32">
        <f>'Mermas mensual'!D15</f>
        <v>59834</v>
      </c>
      <c r="D27" s="22">
        <f>SUMIFS('Detalle pipas'!$G$5:$G$281,'Detalle pipas'!$A$5:$A$281,A27,'Detalle pipas'!$B$5:$B$281,B27,'Detalle pipas'!$M$5:$M$281,"Sí")</f>
        <v>59834</v>
      </c>
      <c r="E27" s="12">
        <f>COUNTIFS('Detalle pipas'!$A$5:$A$281,A27,'Detalle pipas'!$B$5:$B$281,B27,'Detalle pipas'!$M$5:$M$281,"Sí")</f>
        <v>2</v>
      </c>
      <c r="F27" s="18">
        <f t="shared" si="0"/>
        <v>0</v>
      </c>
      <c r="G27" s="11" t="str">
        <f>IF(NOT(ISNUMBER(C27)),"SIN REPORTE",IF(ABS(F27)&lt;=Parámetros!$C$8*MAX(1,E27),"CUADRA","NO CUADRA"))</f>
        <v>CUADRA</v>
      </c>
      <c r="H27" s="12">
        <f>COUNTIFS('Detalle pipas'!$A$5:$A$281,A27,'Detalle pipas'!$B$5:$B$281,B27,'Detalle pipas'!$L$5:$L$281,"NO REGISTRADA*")</f>
        <v>0</v>
      </c>
      <c r="I27" s="12">
        <f>COUNTIFS('Detalle pipas'!$A$5:$A$281,A27,'Detalle pipas'!$B$5:$B$281,B27,'Detalle pipas'!$L$5:$L$281,"Registrada con desfase*")</f>
        <v>0</v>
      </c>
      <c r="J27" s="12">
        <f>COUNTIFS('Compras sin pipa'!$A$5:$A$5,A27,'Compras sin pipa'!$B$5:$B$5,B27)+COUNTIFS('Registros manuales'!$A$5:$A$104,A27,'Registros manuales'!$B$5:$B$104,B27,'Registros manuales'!$G$5:$G$104,"SIN PIPA*")</f>
        <v>0</v>
      </c>
      <c r="K27" s="16" t="str">
        <f>IF(COUNTIFS('Detalle pipas'!$A$5:$A$281,A27,'Detalle pipas'!$B$5:$B$281,B27,'Detalle pipas'!$L$5:$L$281,"REGISTRO MANUAL*")&gt;0,"Incluye "&amp;COUNTIFS('Detalle pipas'!$A$5:$A$281,A27,'Detalle pipas'!$B$5:$B$281,B27,'Detalle pipas'!$L$5:$L$281,"REGISTRO MANUAL*")&amp;" registro(s) manual(es) · ","")&amp;IF(G27="SIN REPORTE","Falta el CSV de mermas de esta estación/producto",IF(G27="CUADRA",IF(I27&gt;0,"Cuadra en el mes; hay pipas registradas en otro día (ver Detalle pipas)","Todo en orden"),"Revisar: "&amp;H27&amp;" pipa(s) sin registrar y "&amp;J27&amp;" compra(s) sin pipa"))&amp;IF(COUNTIFS('Detalle pipas'!$A$5:$A$281,A27,'Detalle pipas'!$B$5:$B$281,B27,'Detalle pipas'!$M$5:$M$281,"No")&gt;0," · "&amp;COUNTIFS('Detalle pipas'!$A$5:$A$281,A27,'Detalle pipas'!$B$5:$B$281,B27,'Detalle pipas'!$M$5:$M$281,"No")&amp;" pipa(s) antes del inicio del reporte (no se cuentan)","")</f>
        <v>Todo en orden</v>
      </c>
    </row>
    <row r="28" spans="1:11" x14ac:dyDescent="0.3">
      <c r="A28" s="6" t="s">
        <v>25</v>
      </c>
      <c r="B28" s="16" t="s">
        <v>12</v>
      </c>
      <c r="C28" s="32">
        <f>'Mermas mensual'!D16</f>
        <v>303295</v>
      </c>
      <c r="D28" s="22">
        <f>SUMIFS('Detalle pipas'!$G$5:$G$281,'Detalle pipas'!$A$5:$A$281,A28,'Detalle pipas'!$B$5:$B$281,B28,'Detalle pipas'!$M$5:$M$281,"Sí")</f>
        <v>303295</v>
      </c>
      <c r="E28" s="12">
        <f>COUNTIFS('Detalle pipas'!$A$5:$A$281,A28,'Detalle pipas'!$B$5:$B$281,B28,'Detalle pipas'!$M$5:$M$281,"Sí")</f>
        <v>12</v>
      </c>
      <c r="F28" s="18">
        <f t="shared" si="0"/>
        <v>0</v>
      </c>
      <c r="G28" s="11" t="str">
        <f>IF(NOT(ISNUMBER(C28)),"SIN REPORTE",IF(ABS(F28)&lt;=Parámetros!$C$8*MAX(1,E28),"CUADRA","NO CUADRA"))</f>
        <v>CUADRA</v>
      </c>
      <c r="H28" s="12">
        <f>COUNTIFS('Detalle pipas'!$A$5:$A$281,A28,'Detalle pipas'!$B$5:$B$281,B28,'Detalle pipas'!$L$5:$L$281,"NO REGISTRADA*")</f>
        <v>0</v>
      </c>
      <c r="I28" s="12">
        <f>COUNTIFS('Detalle pipas'!$A$5:$A$281,A28,'Detalle pipas'!$B$5:$B$281,B28,'Detalle pipas'!$L$5:$L$281,"Registrada con desfase*")</f>
        <v>0</v>
      </c>
      <c r="J28" s="12">
        <f>COUNTIFS('Compras sin pipa'!$A$5:$A$5,A28,'Compras sin pipa'!$B$5:$B$5,B28)+COUNTIFS('Registros manuales'!$A$5:$A$104,A28,'Registros manuales'!$B$5:$B$104,B28,'Registros manuales'!$G$5:$G$104,"SIN PIPA*")</f>
        <v>0</v>
      </c>
      <c r="K28" s="16" t="str">
        <f>IF(COUNTIFS('Detalle pipas'!$A$5:$A$281,A28,'Detalle pipas'!$B$5:$B$281,B28,'Detalle pipas'!$L$5:$L$281,"REGISTRO MANUAL*")&gt;0,"Incluye "&amp;COUNTIFS('Detalle pipas'!$A$5:$A$281,A28,'Detalle pipas'!$B$5:$B$281,B28,'Detalle pipas'!$L$5:$L$281,"REGISTRO MANUAL*")&amp;" registro(s) manual(es) · ","")&amp;IF(G28="SIN REPORTE","Falta el CSV de mermas de esta estación/producto",IF(G28="CUADRA",IF(I28&gt;0,"Cuadra en el mes; hay pipas registradas en otro día (ver Detalle pipas)","Todo en orden"),"Revisar: "&amp;H28&amp;" pipa(s) sin registrar y "&amp;J28&amp;" compra(s) sin pipa"))&amp;IF(COUNTIFS('Detalle pipas'!$A$5:$A$281,A28,'Detalle pipas'!$B$5:$B$281,B28,'Detalle pipas'!$M$5:$M$281,"No")&gt;0," · "&amp;COUNTIFS('Detalle pipas'!$A$5:$A$281,A28,'Detalle pipas'!$B$5:$B$281,B28,'Detalle pipas'!$M$5:$M$281,"No")&amp;" pipa(s) antes del inicio del reporte (no se cuentan)","")</f>
        <v>Todo en orden</v>
      </c>
    </row>
    <row r="29" spans="1:11" x14ac:dyDescent="0.3">
      <c r="A29" s="6" t="s">
        <v>26</v>
      </c>
      <c r="B29" s="16" t="s">
        <v>10</v>
      </c>
      <c r="C29" s="32">
        <f>'Mermas mensual'!D17</f>
        <v>299705</v>
      </c>
      <c r="D29" s="22">
        <f>SUMIFS('Detalle pipas'!$G$5:$G$281,'Detalle pipas'!$A$5:$A$281,A29,'Detalle pipas'!$B$5:$B$281,B29,'Detalle pipas'!$M$5:$M$281,"Sí")</f>
        <v>299705</v>
      </c>
      <c r="E29" s="12">
        <f>COUNTIFS('Detalle pipas'!$A$5:$A$281,A29,'Detalle pipas'!$B$5:$B$281,B29,'Detalle pipas'!$M$5:$M$281,"Sí")</f>
        <v>17</v>
      </c>
      <c r="F29" s="18">
        <f t="shared" si="0"/>
        <v>0</v>
      </c>
      <c r="G29" s="11" t="str">
        <f>IF(NOT(ISNUMBER(C29)),"SIN REPORTE",IF(ABS(F29)&lt;=Parámetros!$C$8*MAX(1,E29),"CUADRA","NO CUADRA"))</f>
        <v>CUADRA</v>
      </c>
      <c r="H29" s="12">
        <f>COUNTIFS('Detalle pipas'!$A$5:$A$281,A29,'Detalle pipas'!$B$5:$B$281,B29,'Detalle pipas'!$L$5:$L$281,"NO REGISTRADA*")</f>
        <v>0</v>
      </c>
      <c r="I29" s="12">
        <f>COUNTIFS('Detalle pipas'!$A$5:$A$281,A29,'Detalle pipas'!$B$5:$B$281,B29,'Detalle pipas'!$L$5:$L$281,"Registrada con desfase*")</f>
        <v>0</v>
      </c>
      <c r="J29" s="12">
        <f>COUNTIFS('Compras sin pipa'!$A$5:$A$5,A29,'Compras sin pipa'!$B$5:$B$5,B29)+COUNTIFS('Registros manuales'!$A$5:$A$104,A29,'Registros manuales'!$B$5:$B$104,B29,'Registros manuales'!$G$5:$G$104,"SIN PIPA*")</f>
        <v>0</v>
      </c>
      <c r="K29" s="16" t="str">
        <f>IF(COUNTIFS('Detalle pipas'!$A$5:$A$281,A29,'Detalle pipas'!$B$5:$B$281,B29,'Detalle pipas'!$L$5:$L$281,"REGISTRO MANUAL*")&gt;0,"Incluye "&amp;COUNTIFS('Detalle pipas'!$A$5:$A$281,A29,'Detalle pipas'!$B$5:$B$281,B29,'Detalle pipas'!$L$5:$L$281,"REGISTRO MANUAL*")&amp;" registro(s) manual(es) · ","")&amp;IF(G29="SIN REPORTE","Falta el CSV de mermas de esta estación/producto",IF(G29="CUADRA",IF(I29&gt;0,"Cuadra en el mes; hay pipas registradas en otro día (ver Detalle pipas)","Todo en orden"),"Revisar: "&amp;H29&amp;" pipa(s) sin registrar y "&amp;J29&amp;" compra(s) sin pipa"))&amp;IF(COUNTIFS('Detalle pipas'!$A$5:$A$281,A29,'Detalle pipas'!$B$5:$B$281,B29,'Detalle pipas'!$M$5:$M$281,"No")&gt;0," · "&amp;COUNTIFS('Detalle pipas'!$A$5:$A$281,A29,'Detalle pipas'!$B$5:$B$281,B29,'Detalle pipas'!$M$5:$M$281,"No")&amp;" pipa(s) antes del inicio del reporte (no se cuentan)","")</f>
        <v>Todo en orden · 1 pipa(s) antes del inicio del reporte (no se cuentan)</v>
      </c>
    </row>
    <row r="30" spans="1:11" x14ac:dyDescent="0.3">
      <c r="A30" s="6" t="s">
        <v>26</v>
      </c>
      <c r="B30" s="16" t="s">
        <v>11</v>
      </c>
      <c r="C30" s="32">
        <f>'Mermas mensual'!D18</f>
        <v>39894</v>
      </c>
      <c r="D30" s="22">
        <f>SUMIFS('Detalle pipas'!$G$5:$G$281,'Detalle pipas'!$A$5:$A$281,A30,'Detalle pipas'!$B$5:$B$281,B30,'Detalle pipas'!$M$5:$M$281,"Sí")</f>
        <v>39894</v>
      </c>
      <c r="E30" s="12">
        <f>COUNTIFS('Detalle pipas'!$A$5:$A$281,A30,'Detalle pipas'!$B$5:$B$281,B30,'Detalle pipas'!$M$5:$M$281,"Sí")</f>
        <v>2</v>
      </c>
      <c r="F30" s="18">
        <f t="shared" si="0"/>
        <v>0</v>
      </c>
      <c r="G30" s="11" t="str">
        <f>IF(NOT(ISNUMBER(C30)),"SIN REPORTE",IF(ABS(F30)&lt;=Parámetros!$C$8*MAX(1,E30),"CUADRA","NO CUADRA"))</f>
        <v>CUADRA</v>
      </c>
      <c r="H30" s="12">
        <f>COUNTIFS('Detalle pipas'!$A$5:$A$281,A30,'Detalle pipas'!$B$5:$B$281,B30,'Detalle pipas'!$L$5:$L$281,"NO REGISTRADA*")</f>
        <v>0</v>
      </c>
      <c r="I30" s="12">
        <f>COUNTIFS('Detalle pipas'!$A$5:$A$281,A30,'Detalle pipas'!$B$5:$B$281,B30,'Detalle pipas'!$L$5:$L$281,"Registrada con desfase*")</f>
        <v>0</v>
      </c>
      <c r="J30" s="12">
        <f>COUNTIFS('Compras sin pipa'!$A$5:$A$5,A30,'Compras sin pipa'!$B$5:$B$5,B30)+COUNTIFS('Registros manuales'!$A$5:$A$104,A30,'Registros manuales'!$B$5:$B$104,B30,'Registros manuales'!$G$5:$G$104,"SIN PIPA*")</f>
        <v>0</v>
      </c>
      <c r="K30" s="16" t="str">
        <f>IF(COUNTIFS('Detalle pipas'!$A$5:$A$281,A30,'Detalle pipas'!$B$5:$B$281,B30,'Detalle pipas'!$L$5:$L$281,"REGISTRO MANUAL*")&gt;0,"Incluye "&amp;COUNTIFS('Detalle pipas'!$A$5:$A$281,A30,'Detalle pipas'!$B$5:$B$281,B30,'Detalle pipas'!$L$5:$L$281,"REGISTRO MANUAL*")&amp;" registro(s) manual(es) · ","")&amp;IF(G30="SIN REPORTE","Falta el CSV de mermas de esta estación/producto",IF(G30="CUADRA",IF(I30&gt;0,"Cuadra en el mes; hay pipas registradas en otro día (ver Detalle pipas)","Todo en orden"),"Revisar: "&amp;H30&amp;" pipa(s) sin registrar y "&amp;J30&amp;" compra(s) sin pipa"))&amp;IF(COUNTIFS('Detalle pipas'!$A$5:$A$281,A30,'Detalle pipas'!$B$5:$B$281,B30,'Detalle pipas'!$M$5:$M$281,"No")&gt;0," · "&amp;COUNTIFS('Detalle pipas'!$A$5:$A$281,A30,'Detalle pipas'!$B$5:$B$281,B30,'Detalle pipas'!$M$5:$M$281,"No")&amp;" pipa(s) antes del inicio del reporte (no se cuentan)","")</f>
        <v>Todo en orden</v>
      </c>
    </row>
    <row r="31" spans="1:11" x14ac:dyDescent="0.3">
      <c r="A31" s="6" t="s">
        <v>26</v>
      </c>
      <c r="B31" s="16" t="s">
        <v>12</v>
      </c>
      <c r="C31" s="32">
        <f>'Mermas mensual'!D19</f>
        <v>265770</v>
      </c>
      <c r="D31" s="22">
        <f>SUMIFS('Detalle pipas'!$G$5:$G$281,'Detalle pipas'!$A$5:$A$281,A31,'Detalle pipas'!$B$5:$B$281,B31,'Detalle pipas'!$M$5:$M$281,"Sí")</f>
        <v>265770</v>
      </c>
      <c r="E31" s="12">
        <f>COUNTIFS('Detalle pipas'!$A$5:$A$281,A31,'Detalle pipas'!$B$5:$B$281,B31,'Detalle pipas'!$M$5:$M$281,"Sí")</f>
        <v>12</v>
      </c>
      <c r="F31" s="18">
        <f t="shared" si="0"/>
        <v>0</v>
      </c>
      <c r="G31" s="11" t="str">
        <f>IF(NOT(ISNUMBER(C31)),"SIN REPORTE",IF(ABS(F31)&lt;=Parámetros!$C$8*MAX(1,E31),"CUADRA","NO CUADRA"))</f>
        <v>CUADRA</v>
      </c>
      <c r="H31" s="12">
        <f>COUNTIFS('Detalle pipas'!$A$5:$A$281,A31,'Detalle pipas'!$B$5:$B$281,B31,'Detalle pipas'!$L$5:$L$281,"NO REGISTRADA*")</f>
        <v>0</v>
      </c>
      <c r="I31" s="12">
        <f>COUNTIFS('Detalle pipas'!$A$5:$A$281,A31,'Detalle pipas'!$B$5:$B$281,B31,'Detalle pipas'!$L$5:$L$281,"Registrada con desfase*")</f>
        <v>0</v>
      </c>
      <c r="J31" s="12">
        <f>COUNTIFS('Compras sin pipa'!$A$5:$A$5,A31,'Compras sin pipa'!$B$5:$B$5,B31)+COUNTIFS('Registros manuales'!$A$5:$A$104,A31,'Registros manuales'!$B$5:$B$104,B31,'Registros manuales'!$G$5:$G$104,"SIN PIPA*")</f>
        <v>0</v>
      </c>
      <c r="K31" s="16" t="str">
        <f>IF(COUNTIFS('Detalle pipas'!$A$5:$A$281,A31,'Detalle pipas'!$B$5:$B$281,B31,'Detalle pipas'!$L$5:$L$281,"REGISTRO MANUAL*")&gt;0,"Incluye "&amp;COUNTIFS('Detalle pipas'!$A$5:$A$281,A31,'Detalle pipas'!$B$5:$B$281,B31,'Detalle pipas'!$L$5:$L$281,"REGISTRO MANUAL*")&amp;" registro(s) manual(es) · ","")&amp;IF(G31="SIN REPORTE","Falta el CSV de mermas de esta estación/producto",IF(G31="CUADRA",IF(I31&gt;0,"Cuadra en el mes; hay pipas registradas en otro día (ver Detalle pipas)","Todo en orden"),"Revisar: "&amp;H31&amp;" pipa(s) sin registrar y "&amp;J31&amp;" compra(s) sin pipa"))&amp;IF(COUNTIFS('Detalle pipas'!$A$5:$A$281,A31,'Detalle pipas'!$B$5:$B$281,B31,'Detalle pipas'!$M$5:$M$281,"No")&gt;0," · "&amp;COUNTIFS('Detalle pipas'!$A$5:$A$281,A31,'Detalle pipas'!$B$5:$B$281,B31,'Detalle pipas'!$M$5:$M$281,"No")&amp;" pipa(s) antes del inicio del reporte (no se cuentan)","")</f>
        <v>Todo en orden · 1 pipa(s) antes del inicio del reporte (no se cuentan)</v>
      </c>
    </row>
    <row r="32" spans="1:11" x14ac:dyDescent="0.3">
      <c r="A32" s="6" t="s">
        <v>27</v>
      </c>
      <c r="B32" s="16" t="s">
        <v>10</v>
      </c>
      <c r="C32" s="11" t="s">
        <v>76</v>
      </c>
      <c r="D32" s="22">
        <f>SUMIFS('Detalle pipas'!$G$5:$G$281,'Detalle pipas'!$A$5:$A$281,A32,'Detalle pipas'!$B$5:$B$281,B32,'Detalle pipas'!$M$5:$M$281,"Sí")</f>
        <v>293717</v>
      </c>
      <c r="E32" s="12">
        <f>COUNTIFS('Detalle pipas'!$A$5:$A$281,A32,'Detalle pipas'!$B$5:$B$281,B32,'Detalle pipas'!$M$5:$M$281,"Sí")</f>
        <v>9</v>
      </c>
      <c r="F32" s="18" t="str">
        <f t="shared" si="0"/>
        <v/>
      </c>
      <c r="G32" s="11" t="str">
        <f>IF(NOT(ISNUMBER(C32)),"SIN REPORTE",IF(ABS(F32)&lt;=Parámetros!$C$8*MAX(1,E32),"CUADRA","NO CUADRA"))</f>
        <v>SIN REPORTE</v>
      </c>
      <c r="H32" s="12">
        <f>COUNTIFS('Detalle pipas'!$A$5:$A$281,A32,'Detalle pipas'!$B$5:$B$281,B32,'Detalle pipas'!$L$5:$L$281,"NO REGISTRADA*")</f>
        <v>0</v>
      </c>
      <c r="I32" s="12">
        <f>COUNTIFS('Detalle pipas'!$A$5:$A$281,A32,'Detalle pipas'!$B$5:$B$281,B32,'Detalle pipas'!$L$5:$L$281,"Registrada con desfase*")</f>
        <v>0</v>
      </c>
      <c r="J32" s="12">
        <f>COUNTIFS('Compras sin pipa'!$A$5:$A$5,A32,'Compras sin pipa'!$B$5:$B$5,B32)+COUNTIFS('Registros manuales'!$A$5:$A$104,A32,'Registros manuales'!$B$5:$B$104,B32,'Registros manuales'!$G$5:$G$104,"SIN PIPA*")</f>
        <v>0</v>
      </c>
      <c r="K32" s="16" t="str">
        <f>IF(COUNTIFS('Detalle pipas'!$A$5:$A$281,A32,'Detalle pipas'!$B$5:$B$281,B32,'Detalle pipas'!$L$5:$L$281,"REGISTRO MANUAL*")&gt;0,"Incluye "&amp;COUNTIFS('Detalle pipas'!$A$5:$A$281,A32,'Detalle pipas'!$B$5:$B$281,B32,'Detalle pipas'!$L$5:$L$281,"REGISTRO MANUAL*")&amp;" registro(s) manual(es) · ","")&amp;IF(G32="SIN REPORTE","Falta el CSV de mermas de esta estación/producto",IF(G32="CUADRA",IF(I32&gt;0,"Cuadra en el mes; hay pipas registradas en otro día (ver Detalle pipas)","Todo en orden"),"Revisar: "&amp;H32&amp;" pipa(s) sin registrar y "&amp;J32&amp;" compra(s) sin pipa"))&amp;IF(COUNTIFS('Detalle pipas'!$A$5:$A$281,A32,'Detalle pipas'!$B$5:$B$281,B32,'Detalle pipas'!$M$5:$M$281,"No")&gt;0," · "&amp;COUNTIFS('Detalle pipas'!$A$5:$A$281,A32,'Detalle pipas'!$B$5:$B$281,B32,'Detalle pipas'!$M$5:$M$281,"No")&amp;" pipa(s) antes del inicio del reporte (no se cuentan)","")</f>
        <v>Falta el CSV de mermas de esta estación/producto</v>
      </c>
    </row>
    <row r="33" spans="1:11" x14ac:dyDescent="0.3">
      <c r="A33" s="6" t="s">
        <v>27</v>
      </c>
      <c r="B33" s="16" t="s">
        <v>11</v>
      </c>
      <c r="C33" s="11" t="s">
        <v>76</v>
      </c>
      <c r="D33" s="22">
        <f>SUMIFS('Detalle pipas'!$G$5:$G$281,'Detalle pipas'!$A$5:$A$281,A33,'Detalle pipas'!$B$5:$B$281,B33,'Detalle pipas'!$M$5:$M$281,"Sí")</f>
        <v>63535</v>
      </c>
      <c r="E33" s="12">
        <f>COUNTIFS('Detalle pipas'!$A$5:$A$281,A33,'Detalle pipas'!$B$5:$B$281,B33,'Detalle pipas'!$M$5:$M$281,"Sí")</f>
        <v>3</v>
      </c>
      <c r="F33" s="18" t="str">
        <f t="shared" si="0"/>
        <v/>
      </c>
      <c r="G33" s="11" t="str">
        <f>IF(NOT(ISNUMBER(C33)),"SIN REPORTE",IF(ABS(F33)&lt;=Parámetros!$C$8*MAX(1,E33),"CUADRA","NO CUADRA"))</f>
        <v>SIN REPORTE</v>
      </c>
      <c r="H33" s="12">
        <f>COUNTIFS('Detalle pipas'!$A$5:$A$281,A33,'Detalle pipas'!$B$5:$B$281,B33,'Detalle pipas'!$L$5:$L$281,"NO REGISTRADA*")</f>
        <v>0</v>
      </c>
      <c r="I33" s="12">
        <f>COUNTIFS('Detalle pipas'!$A$5:$A$281,A33,'Detalle pipas'!$B$5:$B$281,B33,'Detalle pipas'!$L$5:$L$281,"Registrada con desfase*")</f>
        <v>0</v>
      </c>
      <c r="J33" s="12">
        <f>COUNTIFS('Compras sin pipa'!$A$5:$A$5,A33,'Compras sin pipa'!$B$5:$B$5,B33)+COUNTIFS('Registros manuales'!$A$5:$A$104,A33,'Registros manuales'!$B$5:$B$104,B33,'Registros manuales'!$G$5:$G$104,"SIN PIPA*")</f>
        <v>0</v>
      </c>
      <c r="K33" s="16" t="str">
        <f>IF(COUNTIFS('Detalle pipas'!$A$5:$A$281,A33,'Detalle pipas'!$B$5:$B$281,B33,'Detalle pipas'!$L$5:$L$281,"REGISTRO MANUAL*")&gt;0,"Incluye "&amp;COUNTIFS('Detalle pipas'!$A$5:$A$281,A33,'Detalle pipas'!$B$5:$B$281,B33,'Detalle pipas'!$L$5:$L$281,"REGISTRO MANUAL*")&amp;" registro(s) manual(es) · ","")&amp;IF(G33="SIN REPORTE","Falta el CSV de mermas de esta estación/producto",IF(G33="CUADRA",IF(I33&gt;0,"Cuadra en el mes; hay pipas registradas en otro día (ver Detalle pipas)","Todo en orden"),"Revisar: "&amp;H33&amp;" pipa(s) sin registrar y "&amp;J33&amp;" compra(s) sin pipa"))&amp;IF(COUNTIFS('Detalle pipas'!$A$5:$A$281,A33,'Detalle pipas'!$B$5:$B$281,B33,'Detalle pipas'!$M$5:$M$281,"No")&gt;0," · "&amp;COUNTIFS('Detalle pipas'!$A$5:$A$281,A33,'Detalle pipas'!$B$5:$B$281,B33,'Detalle pipas'!$M$5:$M$281,"No")&amp;" pipa(s) antes del inicio del reporte (no se cuentan)","")</f>
        <v>Falta el CSV de mermas de esta estación/producto</v>
      </c>
    </row>
    <row r="34" spans="1:11" x14ac:dyDescent="0.3">
      <c r="A34" s="6" t="s">
        <v>27</v>
      </c>
      <c r="B34" s="16" t="s">
        <v>12</v>
      </c>
      <c r="C34" s="11" t="s">
        <v>76</v>
      </c>
      <c r="D34" s="22">
        <f>SUMIFS('Detalle pipas'!$G$5:$G$281,'Detalle pipas'!$A$5:$A$281,A34,'Detalle pipas'!$B$5:$B$281,B34,'Detalle pipas'!$M$5:$M$281,"Sí")</f>
        <v>532049</v>
      </c>
      <c r="E34" s="12">
        <f>COUNTIFS('Detalle pipas'!$A$5:$A$281,A34,'Detalle pipas'!$B$5:$B$281,B34,'Detalle pipas'!$M$5:$M$281,"Sí")</f>
        <v>17</v>
      </c>
      <c r="F34" s="18" t="str">
        <f t="shared" si="0"/>
        <v/>
      </c>
      <c r="G34" s="11" t="str">
        <f>IF(NOT(ISNUMBER(C34)),"SIN REPORTE",IF(ABS(F34)&lt;=Parámetros!$C$8*MAX(1,E34),"CUADRA","NO CUADRA"))</f>
        <v>SIN REPORTE</v>
      </c>
      <c r="H34" s="12">
        <f>COUNTIFS('Detalle pipas'!$A$5:$A$281,A34,'Detalle pipas'!$B$5:$B$281,B34,'Detalle pipas'!$L$5:$L$281,"NO REGISTRADA*")</f>
        <v>0</v>
      </c>
      <c r="I34" s="12">
        <f>COUNTIFS('Detalle pipas'!$A$5:$A$281,A34,'Detalle pipas'!$B$5:$B$281,B34,'Detalle pipas'!$L$5:$L$281,"Registrada con desfase*")</f>
        <v>0</v>
      </c>
      <c r="J34" s="12">
        <f>COUNTIFS('Compras sin pipa'!$A$5:$A$5,A34,'Compras sin pipa'!$B$5:$B$5,B34)+COUNTIFS('Registros manuales'!$A$5:$A$104,A34,'Registros manuales'!$B$5:$B$104,B34,'Registros manuales'!$G$5:$G$104,"SIN PIPA*")</f>
        <v>0</v>
      </c>
      <c r="K34" s="16" t="str">
        <f>IF(COUNTIFS('Detalle pipas'!$A$5:$A$281,A34,'Detalle pipas'!$B$5:$B$281,B34,'Detalle pipas'!$L$5:$L$281,"REGISTRO MANUAL*")&gt;0,"Incluye "&amp;COUNTIFS('Detalle pipas'!$A$5:$A$281,A34,'Detalle pipas'!$B$5:$B$281,B34,'Detalle pipas'!$L$5:$L$281,"REGISTRO MANUAL*")&amp;" registro(s) manual(es) · ","")&amp;IF(G34="SIN REPORTE","Falta el CSV de mermas de esta estación/producto",IF(G34="CUADRA",IF(I34&gt;0,"Cuadra en el mes; hay pipas registradas en otro día (ver Detalle pipas)","Todo en orden"),"Revisar: "&amp;H34&amp;" pipa(s) sin registrar y "&amp;J34&amp;" compra(s) sin pipa"))&amp;IF(COUNTIFS('Detalle pipas'!$A$5:$A$281,A34,'Detalle pipas'!$B$5:$B$281,B34,'Detalle pipas'!$M$5:$M$281,"No")&gt;0," · "&amp;COUNTIFS('Detalle pipas'!$A$5:$A$281,A34,'Detalle pipas'!$B$5:$B$281,B34,'Detalle pipas'!$M$5:$M$281,"No")&amp;" pipa(s) antes del inicio del reporte (no se cuentan)","")</f>
        <v>Falta el CSV de mermas de esta estación/producto</v>
      </c>
    </row>
    <row r="35" spans="1:11" x14ac:dyDescent="0.3">
      <c r="A35" s="6" t="s">
        <v>28</v>
      </c>
      <c r="B35" s="16" t="s">
        <v>10</v>
      </c>
      <c r="C35" s="11" t="s">
        <v>76</v>
      </c>
      <c r="D35" s="22">
        <f>SUMIFS('Detalle pipas'!$G$5:$G$281,'Detalle pipas'!$A$5:$A$281,A35,'Detalle pipas'!$B$5:$B$281,B35,'Detalle pipas'!$M$5:$M$281,"Sí")</f>
        <v>192937</v>
      </c>
      <c r="E35" s="12">
        <f>COUNTIFS('Detalle pipas'!$A$5:$A$281,A35,'Detalle pipas'!$B$5:$B$281,B35,'Detalle pipas'!$M$5:$M$281,"Sí")</f>
        <v>7</v>
      </c>
      <c r="F35" s="18" t="str">
        <f t="shared" si="0"/>
        <v/>
      </c>
      <c r="G35" s="11" t="str">
        <f>IF(NOT(ISNUMBER(C35)),"SIN REPORTE",IF(ABS(F35)&lt;=Parámetros!$C$8*MAX(1,E35),"CUADRA","NO CUADRA"))</f>
        <v>SIN REPORTE</v>
      </c>
      <c r="H35" s="12">
        <f>COUNTIFS('Detalle pipas'!$A$5:$A$281,A35,'Detalle pipas'!$B$5:$B$281,B35,'Detalle pipas'!$L$5:$L$281,"NO REGISTRADA*")</f>
        <v>0</v>
      </c>
      <c r="I35" s="12">
        <f>COUNTIFS('Detalle pipas'!$A$5:$A$281,A35,'Detalle pipas'!$B$5:$B$281,B35,'Detalle pipas'!$L$5:$L$281,"Registrada con desfase*")</f>
        <v>0</v>
      </c>
      <c r="J35" s="12">
        <f>COUNTIFS('Compras sin pipa'!$A$5:$A$5,A35,'Compras sin pipa'!$B$5:$B$5,B35)+COUNTIFS('Registros manuales'!$A$5:$A$104,A35,'Registros manuales'!$B$5:$B$104,B35,'Registros manuales'!$G$5:$G$104,"SIN PIPA*")</f>
        <v>0</v>
      </c>
      <c r="K35" s="16" t="str">
        <f>IF(COUNTIFS('Detalle pipas'!$A$5:$A$281,A35,'Detalle pipas'!$B$5:$B$281,B35,'Detalle pipas'!$L$5:$L$281,"REGISTRO MANUAL*")&gt;0,"Incluye "&amp;COUNTIFS('Detalle pipas'!$A$5:$A$281,A35,'Detalle pipas'!$B$5:$B$281,B35,'Detalle pipas'!$L$5:$L$281,"REGISTRO MANUAL*")&amp;" registro(s) manual(es) · ","")&amp;IF(G35="SIN REPORTE","Falta el CSV de mermas de esta estación/producto",IF(G35="CUADRA",IF(I35&gt;0,"Cuadra en el mes; hay pipas registradas en otro día (ver Detalle pipas)","Todo en orden"),"Revisar: "&amp;H35&amp;" pipa(s) sin registrar y "&amp;J35&amp;" compra(s) sin pipa"))&amp;IF(COUNTIFS('Detalle pipas'!$A$5:$A$281,A35,'Detalle pipas'!$B$5:$B$281,B35,'Detalle pipas'!$M$5:$M$281,"No")&gt;0," · "&amp;COUNTIFS('Detalle pipas'!$A$5:$A$281,A35,'Detalle pipas'!$B$5:$B$281,B35,'Detalle pipas'!$M$5:$M$281,"No")&amp;" pipa(s) antes del inicio del reporte (no se cuentan)","")</f>
        <v>Falta el CSV de mermas de esta estación/producto</v>
      </c>
    </row>
    <row r="36" spans="1:11" x14ac:dyDescent="0.3">
      <c r="A36" s="6" t="s">
        <v>28</v>
      </c>
      <c r="B36" s="16" t="s">
        <v>11</v>
      </c>
      <c r="C36" s="11" t="s">
        <v>76</v>
      </c>
      <c r="D36" s="22">
        <f>SUMIFS('Detalle pipas'!$G$5:$G$281,'Detalle pipas'!$A$5:$A$281,A36,'Detalle pipas'!$B$5:$B$281,B36,'Detalle pipas'!$M$5:$M$281,"Sí")</f>
        <v>29973</v>
      </c>
      <c r="E36" s="12">
        <f>COUNTIFS('Detalle pipas'!$A$5:$A$281,A36,'Detalle pipas'!$B$5:$B$281,B36,'Detalle pipas'!$M$5:$M$281,"Sí")</f>
        <v>2</v>
      </c>
      <c r="F36" s="18" t="str">
        <f t="shared" si="0"/>
        <v/>
      </c>
      <c r="G36" s="11" t="str">
        <f>IF(NOT(ISNUMBER(C36)),"SIN REPORTE",IF(ABS(F36)&lt;=Parámetros!$C$8*MAX(1,E36),"CUADRA","NO CUADRA"))</f>
        <v>SIN REPORTE</v>
      </c>
      <c r="H36" s="12">
        <f>COUNTIFS('Detalle pipas'!$A$5:$A$281,A36,'Detalle pipas'!$B$5:$B$281,B36,'Detalle pipas'!$L$5:$L$281,"NO REGISTRADA*")</f>
        <v>0</v>
      </c>
      <c r="I36" s="12">
        <f>COUNTIFS('Detalle pipas'!$A$5:$A$281,A36,'Detalle pipas'!$B$5:$B$281,B36,'Detalle pipas'!$L$5:$L$281,"Registrada con desfase*")</f>
        <v>0</v>
      </c>
      <c r="J36" s="12">
        <f>COUNTIFS('Compras sin pipa'!$A$5:$A$5,A36,'Compras sin pipa'!$B$5:$B$5,B36)+COUNTIFS('Registros manuales'!$A$5:$A$104,A36,'Registros manuales'!$B$5:$B$104,B36,'Registros manuales'!$G$5:$G$104,"SIN PIPA*")</f>
        <v>0</v>
      </c>
      <c r="K36" s="16" t="str">
        <f>IF(COUNTIFS('Detalle pipas'!$A$5:$A$281,A36,'Detalle pipas'!$B$5:$B$281,B36,'Detalle pipas'!$L$5:$L$281,"REGISTRO MANUAL*")&gt;0,"Incluye "&amp;COUNTIFS('Detalle pipas'!$A$5:$A$281,A36,'Detalle pipas'!$B$5:$B$281,B36,'Detalle pipas'!$L$5:$L$281,"REGISTRO MANUAL*")&amp;" registro(s) manual(es) · ","")&amp;IF(G36="SIN REPORTE","Falta el CSV de mermas de esta estación/producto",IF(G36="CUADRA",IF(I36&gt;0,"Cuadra en el mes; hay pipas registradas en otro día (ver Detalle pipas)","Todo en orden"),"Revisar: "&amp;H36&amp;" pipa(s) sin registrar y "&amp;J36&amp;" compra(s) sin pipa"))&amp;IF(COUNTIFS('Detalle pipas'!$A$5:$A$281,A36,'Detalle pipas'!$B$5:$B$281,B36,'Detalle pipas'!$M$5:$M$281,"No")&gt;0," · "&amp;COUNTIFS('Detalle pipas'!$A$5:$A$281,A36,'Detalle pipas'!$B$5:$B$281,B36,'Detalle pipas'!$M$5:$M$281,"No")&amp;" pipa(s) antes del inicio del reporte (no se cuentan)","")</f>
        <v>Falta el CSV de mermas de esta estación/producto</v>
      </c>
    </row>
    <row r="37" spans="1:11" x14ac:dyDescent="0.3">
      <c r="A37" s="6" t="s">
        <v>28</v>
      </c>
      <c r="B37" s="16" t="s">
        <v>12</v>
      </c>
      <c r="C37" s="11" t="s">
        <v>76</v>
      </c>
      <c r="D37" s="22">
        <f>SUMIFS('Detalle pipas'!$G$5:$G$281,'Detalle pipas'!$A$5:$A$281,A37,'Detalle pipas'!$B$5:$B$281,B37,'Detalle pipas'!$M$5:$M$281,"Sí")</f>
        <v>59878</v>
      </c>
      <c r="E37" s="12">
        <f>COUNTIFS('Detalle pipas'!$A$5:$A$281,A37,'Detalle pipas'!$B$5:$B$281,B37,'Detalle pipas'!$M$5:$M$281,"Sí")</f>
        <v>4</v>
      </c>
      <c r="F37" s="18" t="str">
        <f t="shared" si="0"/>
        <v/>
      </c>
      <c r="G37" s="11" t="str">
        <f>IF(NOT(ISNUMBER(C37)),"SIN REPORTE",IF(ABS(F37)&lt;=Parámetros!$C$8*MAX(1,E37),"CUADRA","NO CUADRA"))</f>
        <v>SIN REPORTE</v>
      </c>
      <c r="H37" s="12">
        <f>COUNTIFS('Detalle pipas'!$A$5:$A$281,A37,'Detalle pipas'!$B$5:$B$281,B37,'Detalle pipas'!$L$5:$L$281,"NO REGISTRADA*")</f>
        <v>0</v>
      </c>
      <c r="I37" s="12">
        <f>COUNTIFS('Detalle pipas'!$A$5:$A$281,A37,'Detalle pipas'!$B$5:$B$281,B37,'Detalle pipas'!$L$5:$L$281,"Registrada con desfase*")</f>
        <v>0</v>
      </c>
      <c r="J37" s="12">
        <f>COUNTIFS('Compras sin pipa'!$A$5:$A$5,A37,'Compras sin pipa'!$B$5:$B$5,B37)+COUNTIFS('Registros manuales'!$A$5:$A$104,A37,'Registros manuales'!$B$5:$B$104,B37,'Registros manuales'!$G$5:$G$104,"SIN PIPA*")</f>
        <v>0</v>
      </c>
      <c r="K37" s="16" t="str">
        <f>IF(COUNTIFS('Detalle pipas'!$A$5:$A$281,A37,'Detalle pipas'!$B$5:$B$281,B37,'Detalle pipas'!$L$5:$L$281,"REGISTRO MANUAL*")&gt;0,"Incluye "&amp;COUNTIFS('Detalle pipas'!$A$5:$A$281,A37,'Detalle pipas'!$B$5:$B$281,B37,'Detalle pipas'!$L$5:$L$281,"REGISTRO MANUAL*")&amp;" registro(s) manual(es) · ","")&amp;IF(G37="SIN REPORTE","Falta el CSV de mermas de esta estación/producto",IF(G37="CUADRA",IF(I37&gt;0,"Cuadra en el mes; hay pipas registradas en otro día (ver Detalle pipas)","Todo en orden"),"Revisar: "&amp;H37&amp;" pipa(s) sin registrar y "&amp;J37&amp;" compra(s) sin pipa"))&amp;IF(COUNTIFS('Detalle pipas'!$A$5:$A$281,A37,'Detalle pipas'!$B$5:$B$281,B37,'Detalle pipas'!$M$5:$M$281,"No")&gt;0," · "&amp;COUNTIFS('Detalle pipas'!$A$5:$A$281,A37,'Detalle pipas'!$B$5:$B$281,B37,'Detalle pipas'!$M$5:$M$281,"No")&amp;" pipa(s) antes del inicio del reporte (no se cuentan)","")</f>
        <v>Falta el CSV de mermas de esta estación/producto</v>
      </c>
    </row>
    <row r="38" spans="1:11" x14ac:dyDescent="0.3">
      <c r="A38" s="6" t="s">
        <v>29</v>
      </c>
      <c r="B38" s="16" t="s">
        <v>10</v>
      </c>
      <c r="C38" s="32">
        <f>'Mermas mensual'!D20</f>
        <v>143283</v>
      </c>
      <c r="D38" s="22">
        <f>SUMIFS('Detalle pipas'!$G$5:$G$281,'Detalle pipas'!$A$5:$A$281,A38,'Detalle pipas'!$B$5:$B$281,B38,'Detalle pipas'!$M$5:$M$281,"Sí")</f>
        <v>143283</v>
      </c>
      <c r="E38" s="12">
        <f>COUNTIFS('Detalle pipas'!$A$5:$A$281,A38,'Detalle pipas'!$B$5:$B$281,B38,'Detalle pipas'!$M$5:$M$281,"Sí")</f>
        <v>6</v>
      </c>
      <c r="F38" s="18">
        <f t="shared" si="0"/>
        <v>0</v>
      </c>
      <c r="G38" s="11" t="str">
        <f>IF(NOT(ISNUMBER(C38)),"SIN REPORTE",IF(ABS(F38)&lt;=Parámetros!$C$8*MAX(1,E38),"CUADRA","NO CUADRA"))</f>
        <v>CUADRA</v>
      </c>
      <c r="H38" s="12">
        <f>COUNTIFS('Detalle pipas'!$A$5:$A$281,A38,'Detalle pipas'!$B$5:$B$281,B38,'Detalle pipas'!$L$5:$L$281,"NO REGISTRADA*")</f>
        <v>0</v>
      </c>
      <c r="I38" s="12">
        <f>COUNTIFS('Detalle pipas'!$A$5:$A$281,A38,'Detalle pipas'!$B$5:$B$281,B38,'Detalle pipas'!$L$5:$L$281,"Registrada con desfase*")</f>
        <v>0</v>
      </c>
      <c r="J38" s="12">
        <f>COUNTIFS('Compras sin pipa'!$A$5:$A$5,A38,'Compras sin pipa'!$B$5:$B$5,B38)+COUNTIFS('Registros manuales'!$A$5:$A$104,A38,'Registros manuales'!$B$5:$B$104,B38,'Registros manuales'!$G$5:$G$104,"SIN PIPA*")</f>
        <v>0</v>
      </c>
      <c r="K38" s="16" t="str">
        <f>IF(COUNTIFS('Detalle pipas'!$A$5:$A$281,A38,'Detalle pipas'!$B$5:$B$281,B38,'Detalle pipas'!$L$5:$L$281,"REGISTRO MANUAL*")&gt;0,"Incluye "&amp;COUNTIFS('Detalle pipas'!$A$5:$A$281,A38,'Detalle pipas'!$B$5:$B$281,B38,'Detalle pipas'!$L$5:$L$281,"REGISTRO MANUAL*")&amp;" registro(s) manual(es) · ","")&amp;IF(G38="SIN REPORTE","Falta el CSV de mermas de esta estación/producto",IF(G38="CUADRA",IF(I38&gt;0,"Cuadra en el mes; hay pipas registradas en otro día (ver Detalle pipas)","Todo en orden"),"Revisar: "&amp;H38&amp;" pipa(s) sin registrar y "&amp;J38&amp;" compra(s) sin pipa"))&amp;IF(COUNTIFS('Detalle pipas'!$A$5:$A$281,A38,'Detalle pipas'!$B$5:$B$281,B38,'Detalle pipas'!$M$5:$M$281,"No")&gt;0," · "&amp;COUNTIFS('Detalle pipas'!$A$5:$A$281,A38,'Detalle pipas'!$B$5:$B$281,B38,'Detalle pipas'!$M$5:$M$281,"No")&amp;" pipa(s) antes del inicio del reporte (no se cuentan)","")</f>
        <v>Todo en orden</v>
      </c>
    </row>
    <row r="39" spans="1:11" x14ac:dyDescent="0.3">
      <c r="A39" s="6" t="s">
        <v>29</v>
      </c>
      <c r="B39" s="16" t="s">
        <v>11</v>
      </c>
      <c r="C39" s="32">
        <f>'Mermas mensual'!D21</f>
        <v>30314</v>
      </c>
      <c r="D39" s="22">
        <f>SUMIFS('Detalle pipas'!$G$5:$G$281,'Detalle pipas'!$A$5:$A$281,A39,'Detalle pipas'!$B$5:$B$281,B39,'Detalle pipas'!$M$5:$M$281,"Sí")</f>
        <v>30314</v>
      </c>
      <c r="E39" s="12">
        <f>COUNTIFS('Detalle pipas'!$A$5:$A$281,A39,'Detalle pipas'!$B$5:$B$281,B39,'Detalle pipas'!$M$5:$M$281,"Sí")</f>
        <v>3</v>
      </c>
      <c r="F39" s="18">
        <f t="shared" si="0"/>
        <v>0</v>
      </c>
      <c r="G39" s="11" t="str">
        <f>IF(NOT(ISNUMBER(C39)),"SIN REPORTE",IF(ABS(F39)&lt;=Parámetros!$C$8*MAX(1,E39),"CUADRA","NO CUADRA"))</f>
        <v>CUADRA</v>
      </c>
      <c r="H39" s="12">
        <f>COUNTIFS('Detalle pipas'!$A$5:$A$281,A39,'Detalle pipas'!$B$5:$B$281,B39,'Detalle pipas'!$L$5:$L$281,"NO REGISTRADA*")</f>
        <v>0</v>
      </c>
      <c r="I39" s="12">
        <f>COUNTIFS('Detalle pipas'!$A$5:$A$281,A39,'Detalle pipas'!$B$5:$B$281,B39,'Detalle pipas'!$L$5:$L$281,"Registrada con desfase*")</f>
        <v>0</v>
      </c>
      <c r="J39" s="12">
        <f>COUNTIFS('Compras sin pipa'!$A$5:$A$5,A39,'Compras sin pipa'!$B$5:$B$5,B39)+COUNTIFS('Registros manuales'!$A$5:$A$104,A39,'Registros manuales'!$B$5:$B$104,B39,'Registros manuales'!$G$5:$G$104,"SIN PIPA*")</f>
        <v>0</v>
      </c>
      <c r="K39" s="16" t="str">
        <f>IF(COUNTIFS('Detalle pipas'!$A$5:$A$281,A39,'Detalle pipas'!$B$5:$B$281,B39,'Detalle pipas'!$L$5:$L$281,"REGISTRO MANUAL*")&gt;0,"Incluye "&amp;COUNTIFS('Detalle pipas'!$A$5:$A$281,A39,'Detalle pipas'!$B$5:$B$281,B39,'Detalle pipas'!$L$5:$L$281,"REGISTRO MANUAL*")&amp;" registro(s) manual(es) · ","")&amp;IF(G39="SIN REPORTE","Falta el CSV de mermas de esta estación/producto",IF(G39="CUADRA",IF(I39&gt;0,"Cuadra en el mes; hay pipas registradas en otro día (ver Detalle pipas)","Todo en orden"),"Revisar: "&amp;H39&amp;" pipa(s) sin registrar y "&amp;J39&amp;" compra(s) sin pipa"))&amp;IF(COUNTIFS('Detalle pipas'!$A$5:$A$281,A39,'Detalle pipas'!$B$5:$B$281,B39,'Detalle pipas'!$M$5:$M$281,"No")&gt;0," · "&amp;COUNTIFS('Detalle pipas'!$A$5:$A$281,A39,'Detalle pipas'!$B$5:$B$281,B39,'Detalle pipas'!$M$5:$M$281,"No")&amp;" pipa(s) antes del inicio del reporte (no se cuentan)","")</f>
        <v>Todo en orden</v>
      </c>
    </row>
    <row r="40" spans="1:11" x14ac:dyDescent="0.3">
      <c r="A40" s="6" t="s">
        <v>29</v>
      </c>
      <c r="B40" s="16" t="s">
        <v>12</v>
      </c>
      <c r="C40" s="32">
        <f>'Mermas mensual'!D22</f>
        <v>166412</v>
      </c>
      <c r="D40" s="22">
        <f>SUMIFS('Detalle pipas'!$G$5:$G$281,'Detalle pipas'!$A$5:$A$281,A40,'Detalle pipas'!$B$5:$B$281,B40,'Detalle pipas'!$M$5:$M$281,"Sí")</f>
        <v>166412</v>
      </c>
      <c r="E40" s="12">
        <f>COUNTIFS('Detalle pipas'!$A$5:$A$281,A40,'Detalle pipas'!$B$5:$B$281,B40,'Detalle pipas'!$M$5:$M$281,"Sí")</f>
        <v>7</v>
      </c>
      <c r="F40" s="18">
        <f t="shared" si="0"/>
        <v>0</v>
      </c>
      <c r="G40" s="11" t="str">
        <f>IF(NOT(ISNUMBER(C40)),"SIN REPORTE",IF(ABS(F40)&lt;=Parámetros!$C$8*MAX(1,E40),"CUADRA","NO CUADRA"))</f>
        <v>CUADRA</v>
      </c>
      <c r="H40" s="12">
        <f>COUNTIFS('Detalle pipas'!$A$5:$A$281,A40,'Detalle pipas'!$B$5:$B$281,B40,'Detalle pipas'!$L$5:$L$281,"NO REGISTRADA*")</f>
        <v>0</v>
      </c>
      <c r="I40" s="12">
        <f>COUNTIFS('Detalle pipas'!$A$5:$A$281,A40,'Detalle pipas'!$B$5:$B$281,B40,'Detalle pipas'!$L$5:$L$281,"Registrada con desfase*")</f>
        <v>0</v>
      </c>
      <c r="J40" s="12">
        <f>COUNTIFS('Compras sin pipa'!$A$5:$A$5,A40,'Compras sin pipa'!$B$5:$B$5,B40)+COUNTIFS('Registros manuales'!$A$5:$A$104,A40,'Registros manuales'!$B$5:$B$104,B40,'Registros manuales'!$G$5:$G$104,"SIN PIPA*")</f>
        <v>0</v>
      </c>
      <c r="K40" s="16" t="str">
        <f>IF(COUNTIFS('Detalle pipas'!$A$5:$A$281,A40,'Detalle pipas'!$B$5:$B$281,B40,'Detalle pipas'!$L$5:$L$281,"REGISTRO MANUAL*")&gt;0,"Incluye "&amp;COUNTIFS('Detalle pipas'!$A$5:$A$281,A40,'Detalle pipas'!$B$5:$B$281,B40,'Detalle pipas'!$L$5:$L$281,"REGISTRO MANUAL*")&amp;" registro(s) manual(es) · ","")&amp;IF(G40="SIN REPORTE","Falta el CSV de mermas de esta estación/producto",IF(G40="CUADRA",IF(I40&gt;0,"Cuadra en el mes; hay pipas registradas en otro día (ver Detalle pipas)","Todo en orden"),"Revisar: "&amp;H40&amp;" pipa(s) sin registrar y "&amp;J40&amp;" compra(s) sin pipa"))&amp;IF(COUNTIFS('Detalle pipas'!$A$5:$A$281,A40,'Detalle pipas'!$B$5:$B$281,B40,'Detalle pipas'!$M$5:$M$281,"No")&gt;0," · "&amp;COUNTIFS('Detalle pipas'!$A$5:$A$281,A40,'Detalle pipas'!$B$5:$B$281,B40,'Detalle pipas'!$M$5:$M$281,"No")&amp;" pipa(s) antes del inicio del reporte (no se cuentan)","")</f>
        <v>Todo en orden</v>
      </c>
    </row>
  </sheetData>
  <autoFilter ref="A4:K40" xr:uid="{00000000-0009-0000-0000-000004000000}"/>
  <conditionalFormatting sqref="G5:G40">
    <cfRule type="expression" dxfId="17" priority="1">
      <formula>G5="NO CUADRA"</formula>
    </cfRule>
    <cfRule type="expression" dxfId="16" priority="2">
      <formula>G5="SIN REPORTE"</formula>
    </cfRule>
    <cfRule type="expression" dxfId="15" priority="3">
      <formula>G5="CUADRA"</formula>
    </cfRule>
  </conditionalFormatting>
  <conditionalFormatting sqref="H5:H40">
    <cfRule type="cellIs" dxfId="14" priority="4" operator="greaterThan">
      <formula>0</formula>
    </cfRule>
  </conditionalFormatting>
  <conditionalFormatting sqref="I5:I40">
    <cfRule type="cellIs" dxfId="13" priority="6" operator="greaterThan">
      <formula>0</formula>
    </cfRule>
  </conditionalFormatting>
  <conditionalFormatting sqref="J5:J40">
    <cfRule type="cellIs" dxfId="12" priority="5" operator="greaterThan">
      <formula>0</formula>
    </cfRule>
  </conditionalFormatting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7C80"/>
    <pageSetUpPr fitToPage="1"/>
  </sheetPr>
  <dimension ref="A1:N281"/>
  <sheetViews>
    <sheetView showGridLines="0" workbookViewId="0">
      <pane xSplit="2" ySplit="4" topLeftCell="C57" activePane="bottomRight" state="frozen"/>
      <selection pane="topRight"/>
      <selection pane="bottomLeft"/>
      <selection pane="bottomRight" activeCell="B53" sqref="B53"/>
    </sheetView>
  </sheetViews>
  <sheetFormatPr baseColWidth="10" defaultColWidth="8.88671875" defaultRowHeight="14.4" x14ac:dyDescent="0.3"/>
  <cols>
    <col min="1" max="1" width="14" customWidth="1"/>
    <col min="2" max="4" width="10" customWidth="1"/>
    <col min="5" max="5" width="11" customWidth="1"/>
    <col min="6" max="6" width="13" customWidth="1"/>
    <col min="7" max="7" width="11" customWidth="1"/>
    <col min="8" max="8" width="10" customWidth="1"/>
    <col min="9" max="9" width="13" customWidth="1"/>
    <col min="10" max="10" width="9" customWidth="1"/>
    <col min="11" max="11" width="13" customWidth="1"/>
    <col min="12" max="12" width="60" customWidth="1"/>
    <col min="13" max="13" width="11" customWidth="1"/>
    <col min="14" max="14" width="40" customWidth="1"/>
  </cols>
  <sheetData>
    <row r="1" spans="1:14" ht="25.95" customHeight="1" x14ac:dyDescent="0.4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1.95" customHeight="1" x14ac:dyDescent="0.3">
      <c r="A4" s="5" t="s">
        <v>9</v>
      </c>
      <c r="B4" s="5" t="s">
        <v>37</v>
      </c>
      <c r="C4" s="5" t="s">
        <v>78</v>
      </c>
      <c r="D4" s="5" t="s">
        <v>79</v>
      </c>
      <c r="E4" s="5" t="s">
        <v>80</v>
      </c>
      <c r="F4" s="5" t="s">
        <v>81</v>
      </c>
      <c r="G4" s="5" t="s">
        <v>58</v>
      </c>
      <c r="H4" s="5" t="s">
        <v>82</v>
      </c>
      <c r="I4" s="5" t="s">
        <v>83</v>
      </c>
      <c r="J4" s="5" t="s">
        <v>84</v>
      </c>
      <c r="K4" s="5" t="s">
        <v>85</v>
      </c>
      <c r="L4" s="5" t="s">
        <v>45</v>
      </c>
      <c r="M4" s="5" t="s">
        <v>86</v>
      </c>
      <c r="N4" s="5" t="s">
        <v>87</v>
      </c>
    </row>
    <row r="5" spans="1:14" x14ac:dyDescent="0.3">
      <c r="A5" s="16" t="s">
        <v>18</v>
      </c>
      <c r="B5" s="16" t="s">
        <v>12</v>
      </c>
      <c r="C5" s="11">
        <v>75986</v>
      </c>
      <c r="D5" s="11">
        <v>206835</v>
      </c>
      <c r="E5" s="31">
        <v>46244</v>
      </c>
      <c r="F5" s="16" t="s">
        <v>88</v>
      </c>
      <c r="G5" s="22">
        <v>33383</v>
      </c>
      <c r="H5" s="33">
        <v>21.565466000000001</v>
      </c>
      <c r="I5" s="31"/>
      <c r="J5" s="34"/>
      <c r="K5" s="21">
        <f t="shared" ref="K5:K68" si="0">G5*H5</f>
        <v>719919.95147800003</v>
      </c>
      <c r="L5" s="16" t="s">
        <v>89</v>
      </c>
      <c r="M5" s="11" t="s">
        <v>90</v>
      </c>
      <c r="N5" s="35" t="s">
        <v>89</v>
      </c>
    </row>
    <row r="6" spans="1:14" x14ac:dyDescent="0.3">
      <c r="A6" s="16" t="s">
        <v>18</v>
      </c>
      <c r="B6" s="16" t="s">
        <v>12</v>
      </c>
      <c r="C6" s="11">
        <v>76542</v>
      </c>
      <c r="D6" s="11">
        <v>207673</v>
      </c>
      <c r="E6" s="31">
        <v>46254</v>
      </c>
      <c r="F6" s="16" t="s">
        <v>88</v>
      </c>
      <c r="G6" s="22">
        <v>33384</v>
      </c>
      <c r="H6" s="33">
        <v>22.124413000000001</v>
      </c>
      <c r="I6" s="31"/>
      <c r="J6" s="34"/>
      <c r="K6" s="21">
        <f t="shared" si="0"/>
        <v>738601.40359200002</v>
      </c>
      <c r="L6" s="16" t="s">
        <v>89</v>
      </c>
      <c r="M6" s="11" t="s">
        <v>90</v>
      </c>
      <c r="N6" s="35" t="s">
        <v>89</v>
      </c>
    </row>
    <row r="7" spans="1:14" x14ac:dyDescent="0.3">
      <c r="A7" s="16" t="s">
        <v>18</v>
      </c>
      <c r="B7" s="16" t="s">
        <v>11</v>
      </c>
      <c r="C7" s="11">
        <v>76149</v>
      </c>
      <c r="D7" s="11">
        <v>207103</v>
      </c>
      <c r="E7" s="31">
        <v>46247</v>
      </c>
      <c r="F7" s="16" t="s">
        <v>88</v>
      </c>
      <c r="G7" s="22">
        <v>10198</v>
      </c>
      <c r="H7" s="33">
        <v>22.437439000000001</v>
      </c>
      <c r="I7" s="31"/>
      <c r="J7" s="34"/>
      <c r="K7" s="21">
        <f t="shared" si="0"/>
        <v>228817.00292200001</v>
      </c>
      <c r="L7" s="16" t="s">
        <v>89</v>
      </c>
      <c r="M7" s="11" t="s">
        <v>90</v>
      </c>
      <c r="N7" s="35" t="s">
        <v>89</v>
      </c>
    </row>
    <row r="8" spans="1:14" x14ac:dyDescent="0.3">
      <c r="A8" s="16" t="s">
        <v>18</v>
      </c>
      <c r="B8" s="16" t="s">
        <v>10</v>
      </c>
      <c r="C8" s="11">
        <v>75828</v>
      </c>
      <c r="D8" s="11">
        <v>206511</v>
      </c>
      <c r="E8" s="31">
        <v>46241</v>
      </c>
      <c r="F8" s="16" t="s">
        <v>88</v>
      </c>
      <c r="G8" s="22">
        <v>33613</v>
      </c>
      <c r="H8" s="33">
        <v>18.594645</v>
      </c>
      <c r="I8" s="31"/>
      <c r="J8" s="34"/>
      <c r="K8" s="21">
        <f t="shared" si="0"/>
        <v>625021.80238500005</v>
      </c>
      <c r="L8" s="16" t="s">
        <v>89</v>
      </c>
      <c r="M8" s="11" t="s">
        <v>90</v>
      </c>
      <c r="N8" s="35" t="s">
        <v>89</v>
      </c>
    </row>
    <row r="9" spans="1:14" x14ac:dyDescent="0.3">
      <c r="A9" s="16" t="s">
        <v>18</v>
      </c>
      <c r="B9" s="16" t="s">
        <v>10</v>
      </c>
      <c r="C9" s="11">
        <v>76150</v>
      </c>
      <c r="D9" s="11">
        <v>207104</v>
      </c>
      <c r="E9" s="31">
        <v>46247</v>
      </c>
      <c r="F9" s="16" t="s">
        <v>88</v>
      </c>
      <c r="G9" s="22">
        <v>20064</v>
      </c>
      <c r="H9" s="33">
        <v>19.030108999999999</v>
      </c>
      <c r="I9" s="31"/>
      <c r="J9" s="34"/>
      <c r="K9" s="21">
        <f t="shared" si="0"/>
        <v>381820.10697600001</v>
      </c>
      <c r="L9" s="16" t="s">
        <v>89</v>
      </c>
      <c r="M9" s="11" t="s">
        <v>90</v>
      </c>
      <c r="N9" s="35" t="s">
        <v>89</v>
      </c>
    </row>
    <row r="10" spans="1:14" x14ac:dyDescent="0.3">
      <c r="A10" s="16" t="s">
        <v>18</v>
      </c>
      <c r="B10" s="16" t="s">
        <v>10</v>
      </c>
      <c r="C10" s="11">
        <v>76916</v>
      </c>
      <c r="D10" s="11">
        <v>208278</v>
      </c>
      <c r="E10" s="31">
        <v>46261</v>
      </c>
      <c r="F10" s="16" t="s">
        <v>88</v>
      </c>
      <c r="G10" s="22">
        <v>33534</v>
      </c>
      <c r="H10" s="33">
        <v>19.030242000000001</v>
      </c>
      <c r="I10" s="31"/>
      <c r="J10" s="34"/>
      <c r="K10" s="21">
        <f t="shared" si="0"/>
        <v>638160.135228</v>
      </c>
      <c r="L10" s="16" t="s">
        <v>89</v>
      </c>
      <c r="M10" s="11" t="s">
        <v>90</v>
      </c>
      <c r="N10" s="35" t="s">
        <v>89</v>
      </c>
    </row>
    <row r="11" spans="1:14" x14ac:dyDescent="0.3">
      <c r="A11" s="16" t="s">
        <v>19</v>
      </c>
      <c r="B11" s="16" t="s">
        <v>12</v>
      </c>
      <c r="C11" s="11">
        <v>76026</v>
      </c>
      <c r="D11" s="11">
        <v>206896</v>
      </c>
      <c r="E11" s="31">
        <v>46245</v>
      </c>
      <c r="F11" s="16" t="s">
        <v>88</v>
      </c>
      <c r="G11" s="22">
        <v>33556</v>
      </c>
      <c r="H11" s="33">
        <v>22.039604000000001</v>
      </c>
      <c r="I11" s="31"/>
      <c r="J11" s="34"/>
      <c r="K11" s="21">
        <f t="shared" si="0"/>
        <v>739560.95182399999</v>
      </c>
      <c r="L11" s="16" t="s">
        <v>89</v>
      </c>
      <c r="M11" s="11" t="s">
        <v>90</v>
      </c>
      <c r="N11" s="35" t="s">
        <v>89</v>
      </c>
    </row>
    <row r="12" spans="1:14" x14ac:dyDescent="0.3">
      <c r="A12" s="16" t="s">
        <v>19</v>
      </c>
      <c r="B12" s="16" t="s">
        <v>12</v>
      </c>
      <c r="C12" s="11">
        <v>76721</v>
      </c>
      <c r="D12" s="11">
        <v>207971</v>
      </c>
      <c r="E12" s="31">
        <v>46258</v>
      </c>
      <c r="F12" s="16" t="s">
        <v>88</v>
      </c>
      <c r="G12" s="22">
        <v>33482</v>
      </c>
      <c r="H12" s="33">
        <v>22.038205999999999</v>
      </c>
      <c r="I12" s="31"/>
      <c r="J12" s="34"/>
      <c r="K12" s="21">
        <f t="shared" si="0"/>
        <v>737883.213292</v>
      </c>
      <c r="L12" s="16" t="s">
        <v>89</v>
      </c>
      <c r="M12" s="11" t="s">
        <v>90</v>
      </c>
      <c r="N12" s="35" t="s">
        <v>89</v>
      </c>
    </row>
    <row r="13" spans="1:14" x14ac:dyDescent="0.3">
      <c r="A13" s="16" t="s">
        <v>19</v>
      </c>
      <c r="B13" s="16" t="s">
        <v>11</v>
      </c>
      <c r="C13" s="11">
        <v>75604</v>
      </c>
      <c r="D13" s="11">
        <v>206094</v>
      </c>
      <c r="E13" s="31">
        <v>46238</v>
      </c>
      <c r="F13" s="16" t="s">
        <v>88</v>
      </c>
      <c r="G13" s="22">
        <v>10139</v>
      </c>
      <c r="H13" s="33">
        <v>22.457571000000002</v>
      </c>
      <c r="I13" s="31"/>
      <c r="J13" s="34"/>
      <c r="K13" s="21">
        <f t="shared" si="0"/>
        <v>227697.31236900002</v>
      </c>
      <c r="L13" s="16" t="s">
        <v>89</v>
      </c>
      <c r="M13" s="11" t="s">
        <v>90</v>
      </c>
      <c r="N13" s="35" t="s">
        <v>89</v>
      </c>
    </row>
    <row r="14" spans="1:14" x14ac:dyDescent="0.3">
      <c r="A14" s="16" t="s">
        <v>19</v>
      </c>
      <c r="B14" s="16" t="s">
        <v>10</v>
      </c>
      <c r="C14" s="11">
        <v>75603</v>
      </c>
      <c r="D14" s="11">
        <v>206095</v>
      </c>
      <c r="E14" s="31">
        <v>46238</v>
      </c>
      <c r="F14" s="16" t="s">
        <v>88</v>
      </c>
      <c r="G14" s="22">
        <v>19997</v>
      </c>
      <c r="H14" s="33">
        <v>18.866187</v>
      </c>
      <c r="I14" s="31"/>
      <c r="J14" s="34"/>
      <c r="K14" s="21">
        <f t="shared" si="0"/>
        <v>377267.14143900003</v>
      </c>
      <c r="L14" s="16" t="s">
        <v>89</v>
      </c>
      <c r="M14" s="11" t="s">
        <v>90</v>
      </c>
      <c r="N14" s="35" t="s">
        <v>89</v>
      </c>
    </row>
    <row r="15" spans="1:14" x14ac:dyDescent="0.3">
      <c r="A15" s="16" t="s">
        <v>19</v>
      </c>
      <c r="B15" s="16" t="s">
        <v>10</v>
      </c>
      <c r="C15" s="11">
        <v>75870</v>
      </c>
      <c r="D15" s="11">
        <v>206662</v>
      </c>
      <c r="E15" s="31">
        <v>46242</v>
      </c>
      <c r="F15" s="16" t="s">
        <v>88</v>
      </c>
      <c r="G15" s="22">
        <v>30008</v>
      </c>
      <c r="H15" s="33">
        <v>18.943902000000001</v>
      </c>
      <c r="I15" s="31"/>
      <c r="J15" s="34"/>
      <c r="K15" s="21">
        <f t="shared" si="0"/>
        <v>568468.61121600005</v>
      </c>
      <c r="L15" s="16" t="s">
        <v>89</v>
      </c>
      <c r="M15" s="11" t="s">
        <v>90</v>
      </c>
      <c r="N15" s="35" t="s">
        <v>89</v>
      </c>
    </row>
    <row r="16" spans="1:14" x14ac:dyDescent="0.3">
      <c r="A16" s="16" t="s">
        <v>19</v>
      </c>
      <c r="B16" s="16" t="s">
        <v>10</v>
      </c>
      <c r="C16" s="11">
        <v>76349</v>
      </c>
      <c r="D16" s="11">
        <v>207441</v>
      </c>
      <c r="E16" s="31">
        <v>46251</v>
      </c>
      <c r="F16" s="16" t="s">
        <v>88</v>
      </c>
      <c r="G16" s="22">
        <v>33388</v>
      </c>
      <c r="H16" s="33">
        <v>19.030242000000001</v>
      </c>
      <c r="I16" s="31"/>
      <c r="J16" s="34"/>
      <c r="K16" s="21">
        <f t="shared" si="0"/>
        <v>635381.719896</v>
      </c>
      <c r="L16" s="16" t="s">
        <v>89</v>
      </c>
      <c r="M16" s="11" t="s">
        <v>90</v>
      </c>
      <c r="N16" s="35" t="s">
        <v>89</v>
      </c>
    </row>
    <row r="17" spans="1:14" x14ac:dyDescent="0.3">
      <c r="A17" s="16" t="s">
        <v>19</v>
      </c>
      <c r="B17" s="16" t="s">
        <v>10</v>
      </c>
      <c r="C17" s="11">
        <v>76602</v>
      </c>
      <c r="D17" s="11">
        <v>207771</v>
      </c>
      <c r="E17" s="31">
        <v>46255</v>
      </c>
      <c r="F17" s="16" t="s">
        <v>88</v>
      </c>
      <c r="G17" s="22">
        <v>30013</v>
      </c>
      <c r="H17" s="33">
        <v>19.030242000000001</v>
      </c>
      <c r="I17" s="31"/>
      <c r="J17" s="34"/>
      <c r="K17" s="21">
        <f t="shared" si="0"/>
        <v>571154.653146</v>
      </c>
      <c r="L17" s="16" t="s">
        <v>89</v>
      </c>
      <c r="M17" s="11" t="s">
        <v>90</v>
      </c>
      <c r="N17" s="35" t="s">
        <v>89</v>
      </c>
    </row>
    <row r="18" spans="1:14" x14ac:dyDescent="0.3">
      <c r="A18" s="16" t="s">
        <v>19</v>
      </c>
      <c r="B18" s="16" t="s">
        <v>10</v>
      </c>
      <c r="C18" s="11">
        <v>76845</v>
      </c>
      <c r="D18" s="11">
        <v>208123</v>
      </c>
      <c r="E18" s="31">
        <v>46260</v>
      </c>
      <c r="F18" s="16" t="s">
        <v>88</v>
      </c>
      <c r="G18" s="22">
        <v>33797</v>
      </c>
      <c r="H18" s="33">
        <v>19.030242000000001</v>
      </c>
      <c r="I18" s="31"/>
      <c r="J18" s="34"/>
      <c r="K18" s="21">
        <f t="shared" si="0"/>
        <v>643165.08887400001</v>
      </c>
      <c r="L18" s="16" t="s">
        <v>89</v>
      </c>
      <c r="M18" s="11" t="s">
        <v>90</v>
      </c>
      <c r="N18" s="35" t="s">
        <v>89</v>
      </c>
    </row>
    <row r="19" spans="1:14" x14ac:dyDescent="0.3">
      <c r="A19" s="16" t="s">
        <v>20</v>
      </c>
      <c r="B19" s="16" t="s">
        <v>12</v>
      </c>
      <c r="C19" s="11">
        <v>75698</v>
      </c>
      <c r="D19" s="11">
        <v>206204</v>
      </c>
      <c r="E19" s="31">
        <v>46239</v>
      </c>
      <c r="F19" s="16" t="s">
        <v>91</v>
      </c>
      <c r="G19" s="22">
        <v>31506</v>
      </c>
      <c r="H19" s="33">
        <v>21.108915</v>
      </c>
      <c r="I19" s="31"/>
      <c r="J19" s="34"/>
      <c r="K19" s="21">
        <f t="shared" si="0"/>
        <v>665057.47598999995</v>
      </c>
      <c r="L19" s="16" t="s">
        <v>89</v>
      </c>
      <c r="M19" s="11" t="s">
        <v>90</v>
      </c>
      <c r="N19" s="35" t="s">
        <v>89</v>
      </c>
    </row>
    <row r="20" spans="1:14" x14ac:dyDescent="0.3">
      <c r="A20" s="16" t="s">
        <v>20</v>
      </c>
      <c r="B20" s="16" t="s">
        <v>12</v>
      </c>
      <c r="C20" s="11">
        <v>75966</v>
      </c>
      <c r="D20" s="11">
        <v>206655</v>
      </c>
      <c r="E20" s="31">
        <v>46242</v>
      </c>
      <c r="F20" s="16" t="s">
        <v>91</v>
      </c>
      <c r="G20" s="22">
        <v>31428</v>
      </c>
      <c r="H20" s="33">
        <v>21.367535</v>
      </c>
      <c r="I20" s="31"/>
      <c r="J20" s="34"/>
      <c r="K20" s="21">
        <f t="shared" si="0"/>
        <v>671538.88997999998</v>
      </c>
      <c r="L20" s="16" t="s">
        <v>89</v>
      </c>
      <c r="M20" s="11" t="s">
        <v>90</v>
      </c>
      <c r="N20" s="35" t="s">
        <v>89</v>
      </c>
    </row>
    <row r="21" spans="1:14" x14ac:dyDescent="0.3">
      <c r="A21" s="16" t="s">
        <v>20</v>
      </c>
      <c r="B21" s="16" t="s">
        <v>12</v>
      </c>
      <c r="C21" s="11">
        <v>76104</v>
      </c>
      <c r="D21" s="11">
        <v>207014</v>
      </c>
      <c r="E21" s="31">
        <v>46246</v>
      </c>
      <c r="F21" s="16" t="s">
        <v>91</v>
      </c>
      <c r="G21" s="22">
        <v>31537</v>
      </c>
      <c r="H21" s="33">
        <v>21.927879999999998</v>
      </c>
      <c r="I21" s="31"/>
      <c r="J21" s="34"/>
      <c r="K21" s="21">
        <f t="shared" si="0"/>
        <v>691539.55155999993</v>
      </c>
      <c r="L21" s="16" t="s">
        <v>89</v>
      </c>
      <c r="M21" s="11" t="s">
        <v>90</v>
      </c>
      <c r="N21" s="35" t="s">
        <v>89</v>
      </c>
    </row>
    <row r="22" spans="1:14" x14ac:dyDescent="0.3">
      <c r="A22" s="16" t="s">
        <v>20</v>
      </c>
      <c r="B22" s="16" t="s">
        <v>12</v>
      </c>
      <c r="C22" s="11">
        <v>76391</v>
      </c>
      <c r="D22" s="11">
        <v>207428</v>
      </c>
      <c r="E22" s="31">
        <v>46251</v>
      </c>
      <c r="F22" s="16" t="s">
        <v>91</v>
      </c>
      <c r="G22" s="22">
        <v>30868</v>
      </c>
      <c r="H22" s="33">
        <v>21.823032999999999</v>
      </c>
      <c r="I22" s="31"/>
      <c r="J22" s="34"/>
      <c r="K22" s="21">
        <f t="shared" si="0"/>
        <v>673633.382644</v>
      </c>
      <c r="L22" s="16" t="s">
        <v>89</v>
      </c>
      <c r="M22" s="11" t="s">
        <v>90</v>
      </c>
      <c r="N22" s="35" t="s">
        <v>89</v>
      </c>
    </row>
    <row r="23" spans="1:14" x14ac:dyDescent="0.3">
      <c r="A23" s="16" t="s">
        <v>20</v>
      </c>
      <c r="B23" s="16" t="s">
        <v>12</v>
      </c>
      <c r="C23" s="11">
        <v>76708</v>
      </c>
      <c r="D23" s="11">
        <v>207916</v>
      </c>
      <c r="E23" s="31">
        <v>46257</v>
      </c>
      <c r="F23" s="16" t="s">
        <v>91</v>
      </c>
      <c r="G23" s="22">
        <v>31453</v>
      </c>
      <c r="H23" s="33">
        <v>21.840274999999998</v>
      </c>
      <c r="I23" s="31"/>
      <c r="J23" s="34"/>
      <c r="K23" s="21">
        <f t="shared" si="0"/>
        <v>686942.16957499995</v>
      </c>
      <c r="L23" s="16" t="s">
        <v>89</v>
      </c>
      <c r="M23" s="11" t="s">
        <v>90</v>
      </c>
      <c r="N23" s="35" t="s">
        <v>89</v>
      </c>
    </row>
    <row r="24" spans="1:14" x14ac:dyDescent="0.3">
      <c r="A24" s="16" t="s">
        <v>20</v>
      </c>
      <c r="B24" s="16" t="s">
        <v>12</v>
      </c>
      <c r="C24" s="11">
        <v>76873</v>
      </c>
      <c r="D24" s="11">
        <v>208141</v>
      </c>
      <c r="E24" s="31">
        <v>46260</v>
      </c>
      <c r="F24" s="16" t="s">
        <v>91</v>
      </c>
      <c r="G24" s="22">
        <v>31503</v>
      </c>
      <c r="H24" s="33">
        <v>21.490803</v>
      </c>
      <c r="I24" s="31"/>
      <c r="J24" s="34"/>
      <c r="K24" s="21">
        <f t="shared" si="0"/>
        <v>677024.766909</v>
      </c>
      <c r="L24" s="16" t="s">
        <v>89</v>
      </c>
      <c r="M24" s="11" t="s">
        <v>90</v>
      </c>
      <c r="N24" s="35" t="s">
        <v>89</v>
      </c>
    </row>
    <row r="25" spans="1:14" x14ac:dyDescent="0.3">
      <c r="A25" s="16" t="s">
        <v>20</v>
      </c>
      <c r="B25" s="16" t="s">
        <v>11</v>
      </c>
      <c r="C25" s="11">
        <v>75668</v>
      </c>
      <c r="D25" s="11">
        <v>206151</v>
      </c>
      <c r="E25" s="31">
        <v>46238</v>
      </c>
      <c r="F25" s="16" t="s">
        <v>91</v>
      </c>
      <c r="G25" s="22">
        <v>30876</v>
      </c>
      <c r="H25" s="33">
        <v>21.933731000000002</v>
      </c>
      <c r="I25" s="31"/>
      <c r="J25" s="34"/>
      <c r="K25" s="21">
        <f t="shared" si="0"/>
        <v>677225.87835600006</v>
      </c>
      <c r="L25" s="16" t="s">
        <v>89</v>
      </c>
      <c r="M25" s="11" t="s">
        <v>90</v>
      </c>
      <c r="N25" s="35" t="s">
        <v>89</v>
      </c>
    </row>
    <row r="26" spans="1:14" x14ac:dyDescent="0.3">
      <c r="A26" s="16" t="s">
        <v>20</v>
      </c>
      <c r="B26" s="16" t="s">
        <v>11</v>
      </c>
      <c r="C26" s="11">
        <v>76158</v>
      </c>
      <c r="D26" s="11">
        <v>207092</v>
      </c>
      <c r="E26" s="31">
        <v>46247</v>
      </c>
      <c r="F26" s="16" t="s">
        <v>91</v>
      </c>
      <c r="G26" s="22">
        <v>31326</v>
      </c>
      <c r="H26" s="33">
        <v>22.235095999999999</v>
      </c>
      <c r="I26" s="31"/>
      <c r="J26" s="34"/>
      <c r="K26" s="21">
        <f t="shared" si="0"/>
        <v>696536.61729600001</v>
      </c>
      <c r="L26" s="16" t="s">
        <v>89</v>
      </c>
      <c r="M26" s="11" t="s">
        <v>90</v>
      </c>
      <c r="N26" s="35" t="s">
        <v>89</v>
      </c>
    </row>
    <row r="27" spans="1:14" x14ac:dyDescent="0.3">
      <c r="A27" s="16" t="s">
        <v>20</v>
      </c>
      <c r="B27" s="16" t="s">
        <v>11</v>
      </c>
      <c r="C27" s="11">
        <v>76615</v>
      </c>
      <c r="D27" s="11">
        <v>207770</v>
      </c>
      <c r="E27" s="31">
        <v>46255</v>
      </c>
      <c r="F27" s="16" t="s">
        <v>91</v>
      </c>
      <c r="G27" s="22">
        <v>30903</v>
      </c>
      <c r="H27" s="33">
        <v>22.347999000000002</v>
      </c>
      <c r="I27" s="31"/>
      <c r="J27" s="34"/>
      <c r="K27" s="21">
        <f t="shared" si="0"/>
        <v>690620.21309700003</v>
      </c>
      <c r="L27" s="16" t="s">
        <v>89</v>
      </c>
      <c r="M27" s="11" t="s">
        <v>90</v>
      </c>
      <c r="N27" s="35" t="s">
        <v>89</v>
      </c>
    </row>
    <row r="28" spans="1:14" x14ac:dyDescent="0.3">
      <c r="A28" s="16" t="s">
        <v>20</v>
      </c>
      <c r="B28" s="16" t="s">
        <v>11</v>
      </c>
      <c r="C28" s="11">
        <v>77103</v>
      </c>
      <c r="D28" s="11">
        <v>208546</v>
      </c>
      <c r="E28" s="31">
        <v>46263</v>
      </c>
      <c r="F28" s="16" t="s">
        <v>91</v>
      </c>
      <c r="G28" s="22">
        <v>31084</v>
      </c>
      <c r="H28" s="33">
        <v>22.563516</v>
      </c>
      <c r="I28" s="31"/>
      <c r="J28" s="34"/>
      <c r="K28" s="21">
        <f t="shared" si="0"/>
        <v>701364.33134399995</v>
      </c>
      <c r="L28" s="16" t="s">
        <v>89</v>
      </c>
      <c r="M28" s="11" t="s">
        <v>90</v>
      </c>
      <c r="N28" s="35" t="s">
        <v>89</v>
      </c>
    </row>
    <row r="29" spans="1:14" x14ac:dyDescent="0.3">
      <c r="A29" s="16" t="s">
        <v>20</v>
      </c>
      <c r="B29" s="16" t="s">
        <v>10</v>
      </c>
      <c r="C29" s="11">
        <v>75576</v>
      </c>
      <c r="D29" s="11">
        <v>205999</v>
      </c>
      <c r="E29" s="31">
        <v>46237</v>
      </c>
      <c r="F29" s="16" t="s">
        <v>91</v>
      </c>
      <c r="G29" s="22">
        <v>30889</v>
      </c>
      <c r="H29" s="33">
        <v>18.832121999999998</v>
      </c>
      <c r="I29" s="31"/>
      <c r="J29" s="34"/>
      <c r="K29" s="21">
        <f t="shared" si="0"/>
        <v>581705.41645799996</v>
      </c>
      <c r="L29" s="16" t="s">
        <v>89</v>
      </c>
      <c r="M29" s="11" t="s">
        <v>90</v>
      </c>
      <c r="N29" s="35" t="s">
        <v>89</v>
      </c>
    </row>
    <row r="30" spans="1:14" x14ac:dyDescent="0.3">
      <c r="A30" s="16" t="s">
        <v>20</v>
      </c>
      <c r="B30" s="16" t="s">
        <v>10</v>
      </c>
      <c r="C30" s="11">
        <v>75823</v>
      </c>
      <c r="D30" s="11">
        <v>206406</v>
      </c>
      <c r="E30" s="31">
        <v>46240</v>
      </c>
      <c r="F30" s="16" t="s">
        <v>91</v>
      </c>
      <c r="G30" s="22">
        <v>30882</v>
      </c>
      <c r="H30" s="33">
        <v>18.340454000000001</v>
      </c>
      <c r="I30" s="31"/>
      <c r="J30" s="34"/>
      <c r="K30" s="21">
        <f t="shared" si="0"/>
        <v>566389.90042800002</v>
      </c>
      <c r="L30" s="16" t="s">
        <v>89</v>
      </c>
      <c r="M30" s="11" t="s">
        <v>90</v>
      </c>
      <c r="N30" s="35" t="s">
        <v>89</v>
      </c>
    </row>
    <row r="31" spans="1:14" x14ac:dyDescent="0.3">
      <c r="A31" s="16" t="s">
        <v>20</v>
      </c>
      <c r="B31" s="16" t="s">
        <v>10</v>
      </c>
      <c r="C31" s="11">
        <v>75959</v>
      </c>
      <c r="D31" s="11">
        <v>206765</v>
      </c>
      <c r="E31" s="31">
        <v>46243</v>
      </c>
      <c r="F31" s="16" t="s">
        <v>91</v>
      </c>
      <c r="G31" s="22">
        <v>31560</v>
      </c>
      <c r="H31" s="33">
        <v>18.550357999999999</v>
      </c>
      <c r="I31" s="31"/>
      <c r="J31" s="34"/>
      <c r="K31" s="21">
        <f t="shared" si="0"/>
        <v>585449.29848</v>
      </c>
      <c r="L31" s="16" t="s">
        <v>89</v>
      </c>
      <c r="M31" s="11" t="s">
        <v>90</v>
      </c>
      <c r="N31" s="35" t="s">
        <v>89</v>
      </c>
    </row>
    <row r="32" spans="1:14" x14ac:dyDescent="0.3">
      <c r="A32" s="16" t="s">
        <v>20</v>
      </c>
      <c r="B32" s="16" t="s">
        <v>10</v>
      </c>
      <c r="C32" s="11">
        <v>76045</v>
      </c>
      <c r="D32" s="11">
        <v>206947</v>
      </c>
      <c r="E32" s="31">
        <v>46245</v>
      </c>
      <c r="F32" s="16" t="s">
        <v>91</v>
      </c>
      <c r="G32" s="22">
        <v>30970</v>
      </c>
      <c r="H32" s="33">
        <v>18.808979000000001</v>
      </c>
      <c r="I32" s="31"/>
      <c r="J32" s="34"/>
      <c r="K32" s="21">
        <f t="shared" si="0"/>
        <v>582514.07963000005</v>
      </c>
      <c r="L32" s="16" t="s">
        <v>89</v>
      </c>
      <c r="M32" s="11" t="s">
        <v>90</v>
      </c>
      <c r="N32" s="35" t="s">
        <v>89</v>
      </c>
    </row>
    <row r="33" spans="1:14" x14ac:dyDescent="0.3">
      <c r="A33" s="16" t="s">
        <v>20</v>
      </c>
      <c r="B33" s="16" t="s">
        <v>10</v>
      </c>
      <c r="C33" s="11">
        <v>76197</v>
      </c>
      <c r="D33" s="11">
        <v>207168</v>
      </c>
      <c r="E33" s="31">
        <v>46248</v>
      </c>
      <c r="F33" s="16" t="s">
        <v>91</v>
      </c>
      <c r="G33" s="22">
        <v>31576</v>
      </c>
      <c r="H33" s="33">
        <v>18.808979000000001</v>
      </c>
      <c r="I33" s="31"/>
      <c r="J33" s="34"/>
      <c r="K33" s="21">
        <f t="shared" si="0"/>
        <v>593912.32090400008</v>
      </c>
      <c r="L33" s="16" t="s">
        <v>89</v>
      </c>
      <c r="M33" s="11" t="s">
        <v>90</v>
      </c>
      <c r="N33" s="35" t="s">
        <v>89</v>
      </c>
    </row>
    <row r="34" spans="1:14" x14ac:dyDescent="0.3">
      <c r="A34" s="16" t="s">
        <v>20</v>
      </c>
      <c r="B34" s="16" t="s">
        <v>10</v>
      </c>
      <c r="C34" s="11">
        <v>76309</v>
      </c>
      <c r="D34" s="11">
        <v>207371</v>
      </c>
      <c r="E34" s="31">
        <v>46250</v>
      </c>
      <c r="F34" s="16" t="s">
        <v>91</v>
      </c>
      <c r="G34" s="22">
        <v>30878</v>
      </c>
      <c r="H34" s="33">
        <v>18.808979000000001</v>
      </c>
      <c r="I34" s="31"/>
      <c r="J34" s="34"/>
      <c r="K34" s="21">
        <f t="shared" si="0"/>
        <v>580783.65356200002</v>
      </c>
      <c r="L34" s="16" t="s">
        <v>89</v>
      </c>
      <c r="M34" s="11" t="s">
        <v>90</v>
      </c>
      <c r="N34" s="35" t="s">
        <v>89</v>
      </c>
    </row>
    <row r="35" spans="1:14" x14ac:dyDescent="0.3">
      <c r="A35" s="16" t="s">
        <v>20</v>
      </c>
      <c r="B35" s="16" t="s">
        <v>10</v>
      </c>
      <c r="C35" s="11">
        <v>76449</v>
      </c>
      <c r="D35" s="11">
        <v>207541</v>
      </c>
      <c r="E35" s="31">
        <v>46253</v>
      </c>
      <c r="F35" s="16" t="s">
        <v>91</v>
      </c>
      <c r="G35" s="22">
        <v>31702</v>
      </c>
      <c r="H35" s="33">
        <v>18.808979000000001</v>
      </c>
      <c r="I35" s="31"/>
      <c r="J35" s="34"/>
      <c r="K35" s="21">
        <f t="shared" si="0"/>
        <v>596282.25225800008</v>
      </c>
      <c r="L35" s="16" t="s">
        <v>89</v>
      </c>
      <c r="M35" s="11" t="s">
        <v>90</v>
      </c>
      <c r="N35" s="35" t="s">
        <v>89</v>
      </c>
    </row>
    <row r="36" spans="1:14" x14ac:dyDescent="0.3">
      <c r="A36" s="16" t="s">
        <v>20</v>
      </c>
      <c r="B36" s="16" t="s">
        <v>10</v>
      </c>
      <c r="C36" s="11">
        <v>76677</v>
      </c>
      <c r="D36" s="11">
        <v>207854</v>
      </c>
      <c r="E36" s="31">
        <v>46256</v>
      </c>
      <c r="F36" s="16" t="s">
        <v>91</v>
      </c>
      <c r="G36" s="22">
        <v>31375</v>
      </c>
      <c r="H36" s="33">
        <v>18.808979000000001</v>
      </c>
      <c r="I36" s="31"/>
      <c r="J36" s="34"/>
      <c r="K36" s="21">
        <f t="shared" si="0"/>
        <v>590131.71612500004</v>
      </c>
      <c r="L36" s="16" t="s">
        <v>89</v>
      </c>
      <c r="M36" s="11" t="s">
        <v>90</v>
      </c>
      <c r="N36" s="35" t="s">
        <v>89</v>
      </c>
    </row>
    <row r="37" spans="1:14" x14ac:dyDescent="0.3">
      <c r="A37" s="16" t="s">
        <v>20</v>
      </c>
      <c r="B37" s="16" t="s">
        <v>10</v>
      </c>
      <c r="C37" s="11">
        <v>76814</v>
      </c>
      <c r="D37" s="11">
        <v>208056</v>
      </c>
      <c r="E37" s="31">
        <v>46259</v>
      </c>
      <c r="F37" s="16" t="s">
        <v>91</v>
      </c>
      <c r="G37" s="22">
        <v>31067</v>
      </c>
      <c r="H37" s="33">
        <v>18.808979000000001</v>
      </c>
      <c r="I37" s="31"/>
      <c r="J37" s="34"/>
      <c r="K37" s="21">
        <f t="shared" si="0"/>
        <v>584338.55059300002</v>
      </c>
      <c r="L37" s="16" t="s">
        <v>89</v>
      </c>
      <c r="M37" s="11" t="s">
        <v>90</v>
      </c>
      <c r="N37" s="35" t="s">
        <v>89</v>
      </c>
    </row>
    <row r="38" spans="1:14" x14ac:dyDescent="0.3">
      <c r="A38" s="16" t="s">
        <v>20</v>
      </c>
      <c r="B38" s="16" t="s">
        <v>10</v>
      </c>
      <c r="C38" s="11">
        <v>77018</v>
      </c>
      <c r="D38" s="11">
        <v>208390</v>
      </c>
      <c r="E38" s="31">
        <v>46262</v>
      </c>
      <c r="F38" s="16" t="s">
        <v>91</v>
      </c>
      <c r="G38" s="22">
        <v>30951</v>
      </c>
      <c r="H38" s="33">
        <v>18.808979000000001</v>
      </c>
      <c r="I38" s="31"/>
      <c r="J38" s="34"/>
      <c r="K38" s="21">
        <f t="shared" si="0"/>
        <v>582156.70902900002</v>
      </c>
      <c r="L38" s="16" t="s">
        <v>89</v>
      </c>
      <c r="M38" s="11" t="s">
        <v>90</v>
      </c>
      <c r="N38" s="35" t="s">
        <v>89</v>
      </c>
    </row>
    <row r="39" spans="1:14" x14ac:dyDescent="0.3">
      <c r="A39" s="16" t="s">
        <v>20</v>
      </c>
      <c r="B39" s="16" t="s">
        <v>10</v>
      </c>
      <c r="C39" s="11">
        <v>77113</v>
      </c>
      <c r="D39" s="11">
        <v>208594</v>
      </c>
      <c r="E39" s="31">
        <v>46264</v>
      </c>
      <c r="F39" s="16" t="s">
        <v>91</v>
      </c>
      <c r="G39" s="22">
        <v>31051</v>
      </c>
      <c r="H39" s="33">
        <v>18.808979000000001</v>
      </c>
      <c r="I39" s="31"/>
      <c r="J39" s="34"/>
      <c r="K39" s="21">
        <f t="shared" si="0"/>
        <v>584037.606929</v>
      </c>
      <c r="L39" s="16" t="s">
        <v>89</v>
      </c>
      <c r="M39" s="11" t="s">
        <v>90</v>
      </c>
      <c r="N39" s="35" t="s">
        <v>89</v>
      </c>
    </row>
    <row r="40" spans="1:14" x14ac:dyDescent="0.3">
      <c r="A40" s="16" t="s">
        <v>21</v>
      </c>
      <c r="B40" s="16" t="s">
        <v>12</v>
      </c>
      <c r="C40" s="11">
        <v>75496</v>
      </c>
      <c r="D40" s="11">
        <v>205859</v>
      </c>
      <c r="E40" s="31">
        <v>46235</v>
      </c>
      <c r="F40" s="16" t="s">
        <v>88</v>
      </c>
      <c r="G40" s="22">
        <v>35778</v>
      </c>
      <c r="H40" s="33">
        <v>21.734003999999999</v>
      </c>
      <c r="I40" s="31">
        <v>46235</v>
      </c>
      <c r="J40" s="34">
        <v>0</v>
      </c>
      <c r="K40" s="21">
        <f t="shared" si="0"/>
        <v>777599.19511199999</v>
      </c>
      <c r="L40" s="16" t="s">
        <v>92</v>
      </c>
      <c r="M40" s="11" t="s">
        <v>90</v>
      </c>
      <c r="N40" s="35" t="s">
        <v>92</v>
      </c>
    </row>
    <row r="41" spans="1:14" x14ac:dyDescent="0.3">
      <c r="A41" s="16" t="s">
        <v>21</v>
      </c>
      <c r="B41" s="16" t="s">
        <v>12</v>
      </c>
      <c r="C41" s="11">
        <v>75723</v>
      </c>
      <c r="D41" s="11">
        <v>206282</v>
      </c>
      <c r="E41" s="31">
        <v>46239</v>
      </c>
      <c r="F41" s="16" t="s">
        <v>88</v>
      </c>
      <c r="G41" s="22">
        <v>35835</v>
      </c>
      <c r="H41" s="33">
        <v>21.306844999999999</v>
      </c>
      <c r="I41" s="31">
        <v>46239</v>
      </c>
      <c r="J41" s="34">
        <v>0</v>
      </c>
      <c r="K41" s="21">
        <f t="shared" si="0"/>
        <v>763530.79057499999</v>
      </c>
      <c r="L41" s="16" t="s">
        <v>92</v>
      </c>
      <c r="M41" s="11" t="s">
        <v>90</v>
      </c>
      <c r="N41" s="35" t="s">
        <v>92</v>
      </c>
    </row>
    <row r="42" spans="1:14" x14ac:dyDescent="0.3">
      <c r="A42" s="16" t="s">
        <v>21</v>
      </c>
      <c r="B42" s="16" t="s">
        <v>12</v>
      </c>
      <c r="C42" s="11">
        <v>75987</v>
      </c>
      <c r="D42" s="11">
        <v>206841</v>
      </c>
      <c r="E42" s="31">
        <v>46244</v>
      </c>
      <c r="F42" s="16" t="s">
        <v>88</v>
      </c>
      <c r="G42" s="22">
        <v>35875</v>
      </c>
      <c r="H42" s="33">
        <v>21.565466000000001</v>
      </c>
      <c r="I42" s="31">
        <v>46246</v>
      </c>
      <c r="J42" s="34">
        <v>2</v>
      </c>
      <c r="K42" s="21">
        <f t="shared" si="0"/>
        <v>773661.09275000007</v>
      </c>
      <c r="L42" s="16" t="s">
        <v>93</v>
      </c>
      <c r="M42" s="11" t="s">
        <v>90</v>
      </c>
      <c r="N42" s="35" t="s">
        <v>93</v>
      </c>
    </row>
    <row r="43" spans="1:14" x14ac:dyDescent="0.3">
      <c r="A43" s="16" t="s">
        <v>21</v>
      </c>
      <c r="B43" s="16" t="s">
        <v>12</v>
      </c>
      <c r="C43" s="11">
        <v>76163</v>
      </c>
      <c r="D43" s="11">
        <v>207126</v>
      </c>
      <c r="E43" s="31">
        <v>46247</v>
      </c>
      <c r="F43" s="16" t="s">
        <v>88</v>
      </c>
      <c r="G43" s="22">
        <v>35921</v>
      </c>
      <c r="H43" s="33">
        <v>22.125810999999999</v>
      </c>
      <c r="I43" s="31">
        <v>46247</v>
      </c>
      <c r="J43" s="34">
        <v>0</v>
      </c>
      <c r="K43" s="21">
        <f t="shared" si="0"/>
        <v>794781.25693099992</v>
      </c>
      <c r="L43" s="16" t="s">
        <v>92</v>
      </c>
      <c r="M43" s="11" t="s">
        <v>90</v>
      </c>
      <c r="N43" s="35" t="s">
        <v>92</v>
      </c>
    </row>
    <row r="44" spans="1:14" x14ac:dyDescent="0.3">
      <c r="A44" s="16" t="s">
        <v>21</v>
      </c>
      <c r="B44" s="16" t="s">
        <v>12</v>
      </c>
      <c r="C44" s="11">
        <v>76343</v>
      </c>
      <c r="D44" s="11">
        <v>207422</v>
      </c>
      <c r="E44" s="31">
        <v>46251</v>
      </c>
      <c r="F44" s="16" t="s">
        <v>88</v>
      </c>
      <c r="G44" s="22">
        <v>35870</v>
      </c>
      <c r="H44" s="33">
        <v>22.020963999999999</v>
      </c>
      <c r="I44" s="31">
        <v>46251</v>
      </c>
      <c r="J44" s="34">
        <v>0</v>
      </c>
      <c r="K44" s="21">
        <f t="shared" si="0"/>
        <v>789891.97867999994</v>
      </c>
      <c r="L44" s="16" t="s">
        <v>92</v>
      </c>
      <c r="M44" s="11" t="s">
        <v>90</v>
      </c>
      <c r="N44" s="35" t="s">
        <v>92</v>
      </c>
    </row>
    <row r="45" spans="1:14" x14ac:dyDescent="0.3">
      <c r="A45" s="16" t="s">
        <v>21</v>
      </c>
      <c r="B45" s="16" t="s">
        <v>12</v>
      </c>
      <c r="C45" s="11">
        <v>76603</v>
      </c>
      <c r="D45" s="11">
        <v>207772</v>
      </c>
      <c r="E45" s="31">
        <v>46255</v>
      </c>
      <c r="F45" s="16" t="s">
        <v>88</v>
      </c>
      <c r="G45" s="22">
        <v>35888</v>
      </c>
      <c r="H45" s="33">
        <v>22.124413000000001</v>
      </c>
      <c r="I45" s="31">
        <v>46255</v>
      </c>
      <c r="J45" s="34">
        <v>0</v>
      </c>
      <c r="K45" s="21">
        <f t="shared" si="0"/>
        <v>794000.93374400004</v>
      </c>
      <c r="L45" s="16" t="s">
        <v>92</v>
      </c>
      <c r="M45" s="11" t="s">
        <v>90</v>
      </c>
      <c r="N45" s="35" t="s">
        <v>92</v>
      </c>
    </row>
    <row r="46" spans="1:14" x14ac:dyDescent="0.3">
      <c r="A46" s="16" t="s">
        <v>21</v>
      </c>
      <c r="B46" s="16" t="s">
        <v>12</v>
      </c>
      <c r="C46" s="11">
        <v>76837</v>
      </c>
      <c r="D46" s="11">
        <v>208097</v>
      </c>
      <c r="E46" s="31">
        <v>46259</v>
      </c>
      <c r="F46" s="16" t="s">
        <v>88</v>
      </c>
      <c r="G46" s="22">
        <v>35957</v>
      </c>
      <c r="H46" s="33">
        <v>21.688734</v>
      </c>
      <c r="I46" s="31">
        <v>46260</v>
      </c>
      <c r="J46" s="34">
        <v>1</v>
      </c>
      <c r="K46" s="21">
        <f t="shared" si="0"/>
        <v>779861.80843800004</v>
      </c>
      <c r="L46" s="16" t="s">
        <v>94</v>
      </c>
      <c r="M46" s="11" t="s">
        <v>90</v>
      </c>
      <c r="N46" s="35" t="s">
        <v>94</v>
      </c>
    </row>
    <row r="47" spans="1:14" x14ac:dyDescent="0.3">
      <c r="A47" s="16" t="s">
        <v>21</v>
      </c>
      <c r="B47" s="16" t="s">
        <v>12</v>
      </c>
      <c r="C47" s="11">
        <v>77010</v>
      </c>
      <c r="D47" s="11">
        <v>208395</v>
      </c>
      <c r="E47" s="31">
        <v>46262</v>
      </c>
      <c r="F47" s="16" t="s">
        <v>88</v>
      </c>
      <c r="G47" s="22">
        <v>35877</v>
      </c>
      <c r="H47" s="33">
        <v>21.688734</v>
      </c>
      <c r="I47" s="31">
        <v>46264</v>
      </c>
      <c r="J47" s="34">
        <v>2</v>
      </c>
      <c r="K47" s="21">
        <f t="shared" si="0"/>
        <v>778126.70971800003</v>
      </c>
      <c r="L47" s="16" t="s">
        <v>93</v>
      </c>
      <c r="M47" s="11" t="s">
        <v>90</v>
      </c>
      <c r="N47" s="35" t="s">
        <v>93</v>
      </c>
    </row>
    <row r="48" spans="1:14" x14ac:dyDescent="0.3">
      <c r="A48" s="16" t="s">
        <v>21</v>
      </c>
      <c r="B48" s="16" t="s">
        <v>11</v>
      </c>
      <c r="C48" s="11">
        <v>75762</v>
      </c>
      <c r="D48" s="11">
        <v>206390</v>
      </c>
      <c r="E48" s="31">
        <v>46240</v>
      </c>
      <c r="F48" s="16" t="s">
        <v>88</v>
      </c>
      <c r="G48" s="22">
        <v>35986</v>
      </c>
      <c r="H48" s="33">
        <v>22.095511999999999</v>
      </c>
      <c r="I48" s="31">
        <v>46243</v>
      </c>
      <c r="J48" s="34">
        <v>3</v>
      </c>
      <c r="K48" s="21">
        <f t="shared" si="0"/>
        <v>795129.09483199997</v>
      </c>
      <c r="L48" s="16" t="s">
        <v>95</v>
      </c>
      <c r="M48" s="11" t="s">
        <v>90</v>
      </c>
      <c r="N48" s="35" t="s">
        <v>95</v>
      </c>
    </row>
    <row r="49" spans="1:14" x14ac:dyDescent="0.3">
      <c r="A49" s="16" t="s">
        <v>21</v>
      </c>
      <c r="B49" s="16" t="s">
        <v>11</v>
      </c>
      <c r="C49" s="11">
        <v>76797</v>
      </c>
      <c r="D49" s="11">
        <v>208057</v>
      </c>
      <c r="E49" s="31">
        <v>46259</v>
      </c>
      <c r="F49" s="16" t="s">
        <v>88</v>
      </c>
      <c r="G49" s="22">
        <v>36063</v>
      </c>
      <c r="H49" s="33">
        <v>22.662655999999998</v>
      </c>
      <c r="I49" s="31">
        <v>46260</v>
      </c>
      <c r="J49" s="34">
        <v>1</v>
      </c>
      <c r="K49" s="21">
        <f t="shared" si="0"/>
        <v>817283.36332799995</v>
      </c>
      <c r="L49" s="16" t="s">
        <v>94</v>
      </c>
      <c r="M49" s="11" t="s">
        <v>90</v>
      </c>
      <c r="N49" s="35" t="s">
        <v>94</v>
      </c>
    </row>
    <row r="50" spans="1:14" x14ac:dyDescent="0.3">
      <c r="A50" s="16" t="s">
        <v>21</v>
      </c>
      <c r="B50" s="16" t="s">
        <v>10</v>
      </c>
      <c r="C50" s="11">
        <v>75491</v>
      </c>
      <c r="D50" s="11">
        <v>205808</v>
      </c>
      <c r="E50" s="31">
        <v>46235</v>
      </c>
      <c r="F50" s="16" t="s">
        <v>88</v>
      </c>
      <c r="G50" s="22">
        <v>36301</v>
      </c>
      <c r="H50" s="33">
        <v>19.038601</v>
      </c>
      <c r="I50" s="31">
        <v>46235</v>
      </c>
      <c r="J50" s="34">
        <v>0</v>
      </c>
      <c r="K50" s="21">
        <f t="shared" si="0"/>
        <v>691120.25490099995</v>
      </c>
      <c r="L50" s="16" t="s">
        <v>92</v>
      </c>
      <c r="M50" s="11" t="s">
        <v>90</v>
      </c>
      <c r="N50" s="35" t="s">
        <v>92</v>
      </c>
    </row>
    <row r="51" spans="1:14" x14ac:dyDescent="0.3">
      <c r="A51" s="16" t="s">
        <v>21</v>
      </c>
      <c r="B51" s="16" t="s">
        <v>10</v>
      </c>
      <c r="C51" s="11">
        <v>75571</v>
      </c>
      <c r="D51" s="11">
        <v>206006</v>
      </c>
      <c r="E51" s="31">
        <v>46237</v>
      </c>
      <c r="F51" s="16" t="s">
        <v>88</v>
      </c>
      <c r="G51" s="22">
        <v>36045</v>
      </c>
      <c r="H51" s="33">
        <v>19.038601</v>
      </c>
      <c r="I51" s="31">
        <v>46238</v>
      </c>
      <c r="J51" s="34">
        <v>1</v>
      </c>
      <c r="K51" s="21">
        <f t="shared" si="0"/>
        <v>686246.37304500001</v>
      </c>
      <c r="L51" s="16" t="s">
        <v>94</v>
      </c>
      <c r="M51" s="11" t="s">
        <v>90</v>
      </c>
      <c r="N51" s="35" t="s">
        <v>94</v>
      </c>
    </row>
    <row r="52" spans="1:14" x14ac:dyDescent="0.3">
      <c r="A52" s="16" t="s">
        <v>21</v>
      </c>
      <c r="B52" s="16" t="s">
        <v>10</v>
      </c>
      <c r="C52" s="11">
        <v>75658</v>
      </c>
      <c r="D52" s="11">
        <v>206125</v>
      </c>
      <c r="E52" s="31">
        <v>46238</v>
      </c>
      <c r="F52" s="16" t="s">
        <v>88</v>
      </c>
      <c r="G52" s="22">
        <v>35894</v>
      </c>
      <c r="H52" s="33">
        <v>18.866187</v>
      </c>
      <c r="I52" s="31">
        <v>46238</v>
      </c>
      <c r="J52" s="34">
        <v>0</v>
      </c>
      <c r="K52" s="21">
        <f t="shared" si="0"/>
        <v>677182.91617800004</v>
      </c>
      <c r="L52" s="16" t="s">
        <v>92</v>
      </c>
      <c r="M52" s="11" t="s">
        <v>90</v>
      </c>
      <c r="N52" s="35" t="s">
        <v>92</v>
      </c>
    </row>
    <row r="53" spans="1:14" x14ac:dyDescent="0.3">
      <c r="A53" s="16" t="s">
        <v>21</v>
      </c>
      <c r="B53" s="16" t="s">
        <v>10</v>
      </c>
      <c r="C53" s="11">
        <v>75700</v>
      </c>
      <c r="D53" s="11">
        <v>206229</v>
      </c>
      <c r="E53" s="31">
        <v>46239</v>
      </c>
      <c r="F53" s="16" t="s">
        <v>88</v>
      </c>
      <c r="G53" s="22">
        <v>36205</v>
      </c>
      <c r="H53" s="33">
        <v>18.736886999999999</v>
      </c>
      <c r="I53" s="31">
        <v>46239</v>
      </c>
      <c r="J53" s="34">
        <v>0</v>
      </c>
      <c r="K53" s="21">
        <f t="shared" si="0"/>
        <v>678368.99383499997</v>
      </c>
      <c r="L53" s="16" t="s">
        <v>92</v>
      </c>
      <c r="M53" s="11" t="s">
        <v>90</v>
      </c>
      <c r="N53" s="35" t="s">
        <v>92</v>
      </c>
    </row>
    <row r="54" spans="1:14" x14ac:dyDescent="0.3">
      <c r="A54" s="16" t="s">
        <v>21</v>
      </c>
      <c r="B54" s="16" t="s">
        <v>10</v>
      </c>
      <c r="C54" s="11">
        <v>75845</v>
      </c>
      <c r="D54" s="11">
        <v>206530</v>
      </c>
      <c r="E54" s="31">
        <v>46241</v>
      </c>
      <c r="F54" s="16" t="s">
        <v>88</v>
      </c>
      <c r="G54" s="22">
        <v>35932</v>
      </c>
      <c r="H54" s="33">
        <v>18.594645</v>
      </c>
      <c r="I54" s="31">
        <v>46243</v>
      </c>
      <c r="J54" s="34">
        <v>2</v>
      </c>
      <c r="K54" s="21">
        <f t="shared" si="0"/>
        <v>668142.78414</v>
      </c>
      <c r="L54" s="16" t="s">
        <v>93</v>
      </c>
      <c r="M54" s="11" t="s">
        <v>90</v>
      </c>
      <c r="N54" s="35" t="s">
        <v>93</v>
      </c>
    </row>
    <row r="55" spans="1:14" x14ac:dyDescent="0.3">
      <c r="A55" s="16" t="s">
        <v>21</v>
      </c>
      <c r="B55" s="16" t="s">
        <v>10</v>
      </c>
      <c r="C55" s="11">
        <v>76018</v>
      </c>
      <c r="D55" s="11">
        <v>206885</v>
      </c>
      <c r="E55" s="31">
        <v>46244</v>
      </c>
      <c r="F55" s="16" t="s">
        <v>88</v>
      </c>
      <c r="G55" s="22">
        <v>36143</v>
      </c>
      <c r="H55" s="33">
        <v>18.943902000000001</v>
      </c>
      <c r="I55" s="31">
        <v>46245</v>
      </c>
      <c r="J55" s="34">
        <v>1</v>
      </c>
      <c r="K55" s="21">
        <f t="shared" si="0"/>
        <v>684689.44998600008</v>
      </c>
      <c r="L55" s="16" t="s">
        <v>94</v>
      </c>
      <c r="M55" s="11" t="s">
        <v>90</v>
      </c>
      <c r="N55" s="35" t="s">
        <v>94</v>
      </c>
    </row>
    <row r="56" spans="1:14" x14ac:dyDescent="0.3">
      <c r="A56" s="16" t="s">
        <v>21</v>
      </c>
      <c r="B56" s="16" t="s">
        <v>10</v>
      </c>
      <c r="C56" s="11">
        <v>76027</v>
      </c>
      <c r="D56" s="11">
        <v>206897</v>
      </c>
      <c r="E56" s="31">
        <v>46245</v>
      </c>
      <c r="F56" s="16" t="s">
        <v>88</v>
      </c>
      <c r="G56" s="22">
        <v>36277</v>
      </c>
      <c r="H56" s="33">
        <v>19.030108999999999</v>
      </c>
      <c r="I56" s="31">
        <v>46245</v>
      </c>
      <c r="J56" s="34">
        <v>0</v>
      </c>
      <c r="K56" s="21">
        <f t="shared" si="0"/>
        <v>690355.26419300004</v>
      </c>
      <c r="L56" s="16" t="s">
        <v>92</v>
      </c>
      <c r="M56" s="11" t="s">
        <v>90</v>
      </c>
      <c r="N56" s="35" t="s">
        <v>92</v>
      </c>
    </row>
    <row r="57" spans="1:14" x14ac:dyDescent="0.3">
      <c r="A57" s="16" t="s">
        <v>21</v>
      </c>
      <c r="B57" s="16" t="s">
        <v>10</v>
      </c>
      <c r="C57" s="11">
        <v>76113</v>
      </c>
      <c r="D57" s="11">
        <v>207046</v>
      </c>
      <c r="E57" s="31">
        <v>46246</v>
      </c>
      <c r="F57" s="16" t="s">
        <v>88</v>
      </c>
      <c r="G57" s="22">
        <v>36007</v>
      </c>
      <c r="H57" s="33">
        <v>19.030108999999999</v>
      </c>
      <c r="I57" s="31">
        <v>46246</v>
      </c>
      <c r="J57" s="34">
        <v>0</v>
      </c>
      <c r="K57" s="21">
        <f t="shared" si="0"/>
        <v>685217.13476299995</v>
      </c>
      <c r="L57" s="16" t="s">
        <v>92</v>
      </c>
      <c r="M57" s="11" t="s">
        <v>90</v>
      </c>
      <c r="N57" s="35" t="s">
        <v>92</v>
      </c>
    </row>
    <row r="58" spans="1:14" x14ac:dyDescent="0.3">
      <c r="A58" s="16" t="s">
        <v>21</v>
      </c>
      <c r="B58" s="16" t="s">
        <v>10</v>
      </c>
      <c r="C58" s="11">
        <v>76203</v>
      </c>
      <c r="D58" s="11">
        <v>207203</v>
      </c>
      <c r="E58" s="31">
        <v>46248</v>
      </c>
      <c r="F58" s="16" t="s">
        <v>88</v>
      </c>
      <c r="G58" s="22">
        <v>35995</v>
      </c>
      <c r="H58" s="33">
        <v>19.030108999999999</v>
      </c>
      <c r="I58" s="31">
        <v>46248</v>
      </c>
      <c r="J58" s="34">
        <v>0</v>
      </c>
      <c r="K58" s="21">
        <f t="shared" si="0"/>
        <v>684988.77345500002</v>
      </c>
      <c r="L58" s="16" t="s">
        <v>92</v>
      </c>
      <c r="M58" s="11" t="s">
        <v>90</v>
      </c>
      <c r="N58" s="35" t="s">
        <v>92</v>
      </c>
    </row>
    <row r="59" spans="1:14" x14ac:dyDescent="0.3">
      <c r="A59" s="16" t="s">
        <v>21</v>
      </c>
      <c r="B59" s="16" t="s">
        <v>10</v>
      </c>
      <c r="C59" s="11">
        <v>76271</v>
      </c>
      <c r="D59" s="11">
        <v>207293</v>
      </c>
      <c r="E59" s="31">
        <v>46249</v>
      </c>
      <c r="F59" s="16" t="s">
        <v>88</v>
      </c>
      <c r="G59" s="22">
        <v>36177</v>
      </c>
      <c r="H59" s="33">
        <v>19.030242000000001</v>
      </c>
      <c r="I59" s="31">
        <v>46249</v>
      </c>
      <c r="J59" s="34">
        <v>0</v>
      </c>
      <c r="K59" s="21">
        <f t="shared" si="0"/>
        <v>688457.06483400008</v>
      </c>
      <c r="L59" s="16" t="s">
        <v>92</v>
      </c>
      <c r="M59" s="11" t="s">
        <v>90</v>
      </c>
      <c r="N59" s="35" t="s">
        <v>92</v>
      </c>
    </row>
    <row r="60" spans="1:14" x14ac:dyDescent="0.3">
      <c r="A60" s="16" t="s">
        <v>21</v>
      </c>
      <c r="B60" s="16" t="s">
        <v>10</v>
      </c>
      <c r="C60" s="11">
        <v>76403</v>
      </c>
      <c r="D60" s="11">
        <v>207501</v>
      </c>
      <c r="E60" s="31">
        <v>46252</v>
      </c>
      <c r="F60" s="16" t="s">
        <v>88</v>
      </c>
      <c r="G60" s="22">
        <v>36179</v>
      </c>
      <c r="H60" s="33">
        <v>19.030242000000001</v>
      </c>
      <c r="I60" s="31">
        <v>46252</v>
      </c>
      <c r="J60" s="34">
        <v>0</v>
      </c>
      <c r="K60" s="21">
        <f t="shared" si="0"/>
        <v>688495.12531800009</v>
      </c>
      <c r="L60" s="16" t="s">
        <v>92</v>
      </c>
      <c r="M60" s="11" t="s">
        <v>90</v>
      </c>
      <c r="N60" s="35" t="s">
        <v>92</v>
      </c>
    </row>
    <row r="61" spans="1:14" x14ac:dyDescent="0.3">
      <c r="A61" s="16" t="s">
        <v>21</v>
      </c>
      <c r="B61" s="16" t="s">
        <v>10</v>
      </c>
      <c r="C61" s="11">
        <v>76470</v>
      </c>
      <c r="D61" s="11">
        <v>207588</v>
      </c>
      <c r="E61" s="31">
        <v>46253</v>
      </c>
      <c r="F61" s="16" t="s">
        <v>88</v>
      </c>
      <c r="G61" s="22">
        <v>35938</v>
      </c>
      <c r="H61" s="33">
        <v>19.030241</v>
      </c>
      <c r="I61" s="31">
        <v>46253</v>
      </c>
      <c r="J61" s="34">
        <v>0</v>
      </c>
      <c r="K61" s="21">
        <f t="shared" si="0"/>
        <v>683908.80105799995</v>
      </c>
      <c r="L61" s="16" t="s">
        <v>92</v>
      </c>
      <c r="M61" s="11" t="s">
        <v>90</v>
      </c>
      <c r="N61" s="35" t="s">
        <v>92</v>
      </c>
    </row>
    <row r="62" spans="1:14" x14ac:dyDescent="0.3">
      <c r="A62" s="16" t="s">
        <v>21</v>
      </c>
      <c r="B62" s="16" t="s">
        <v>10</v>
      </c>
      <c r="C62" s="11">
        <v>76661</v>
      </c>
      <c r="D62" s="11">
        <v>207831</v>
      </c>
      <c r="E62" s="31">
        <v>46256</v>
      </c>
      <c r="F62" s="16" t="s">
        <v>88</v>
      </c>
      <c r="G62" s="22">
        <v>36160</v>
      </c>
      <c r="H62" s="33">
        <v>19.030241</v>
      </c>
      <c r="I62" s="31">
        <v>46256</v>
      </c>
      <c r="J62" s="34">
        <v>0</v>
      </c>
      <c r="K62" s="21">
        <f t="shared" si="0"/>
        <v>688133.51456000004</v>
      </c>
      <c r="L62" s="16" t="s">
        <v>92</v>
      </c>
      <c r="M62" s="11" t="s">
        <v>90</v>
      </c>
      <c r="N62" s="35" t="s">
        <v>92</v>
      </c>
    </row>
    <row r="63" spans="1:14" x14ac:dyDescent="0.3">
      <c r="A63" s="16" t="s">
        <v>21</v>
      </c>
      <c r="B63" s="16" t="s">
        <v>10</v>
      </c>
      <c r="C63" s="11">
        <v>76685</v>
      </c>
      <c r="D63" s="11">
        <v>207867</v>
      </c>
      <c r="E63" s="31">
        <v>46256</v>
      </c>
      <c r="F63" s="16" t="s">
        <v>88</v>
      </c>
      <c r="G63" s="22">
        <v>35801</v>
      </c>
      <c r="H63" s="33">
        <v>19.030241</v>
      </c>
      <c r="I63" s="31">
        <v>46256</v>
      </c>
      <c r="J63" s="34">
        <v>0</v>
      </c>
      <c r="K63" s="21">
        <f t="shared" si="0"/>
        <v>681301.65804100002</v>
      </c>
      <c r="L63" s="16" t="s">
        <v>92</v>
      </c>
      <c r="M63" s="11" t="s">
        <v>90</v>
      </c>
      <c r="N63" s="35" t="s">
        <v>92</v>
      </c>
    </row>
    <row r="64" spans="1:14" x14ac:dyDescent="0.3">
      <c r="A64" s="16" t="s">
        <v>21</v>
      </c>
      <c r="B64" s="16" t="s">
        <v>10</v>
      </c>
      <c r="C64" s="11">
        <v>76783</v>
      </c>
      <c r="D64" s="11">
        <v>208015</v>
      </c>
      <c r="E64" s="31">
        <v>46259</v>
      </c>
      <c r="F64" s="16" t="s">
        <v>88</v>
      </c>
      <c r="G64" s="22">
        <v>20206</v>
      </c>
      <c r="H64" s="33">
        <v>19.030242000000001</v>
      </c>
      <c r="I64" s="31">
        <v>46260</v>
      </c>
      <c r="J64" s="34">
        <v>1</v>
      </c>
      <c r="K64" s="21">
        <f t="shared" si="0"/>
        <v>384525.06985200004</v>
      </c>
      <c r="L64" s="16" t="s">
        <v>94</v>
      </c>
      <c r="M64" s="11" t="s">
        <v>90</v>
      </c>
      <c r="N64" s="35" t="s">
        <v>94</v>
      </c>
    </row>
    <row r="65" spans="1:14" x14ac:dyDescent="0.3">
      <c r="A65" s="16" t="s">
        <v>21</v>
      </c>
      <c r="B65" s="16" t="s">
        <v>10</v>
      </c>
      <c r="C65" s="11">
        <v>76784</v>
      </c>
      <c r="D65" s="11">
        <v>208014</v>
      </c>
      <c r="E65" s="31">
        <v>46259</v>
      </c>
      <c r="F65" s="16" t="s">
        <v>88</v>
      </c>
      <c r="G65" s="22">
        <v>10252</v>
      </c>
      <c r="H65" s="33">
        <v>19.030242000000001</v>
      </c>
      <c r="I65" s="31">
        <v>46260</v>
      </c>
      <c r="J65" s="34">
        <v>1</v>
      </c>
      <c r="K65" s="21">
        <f t="shared" si="0"/>
        <v>195098.04098400002</v>
      </c>
      <c r="L65" s="16" t="s">
        <v>94</v>
      </c>
      <c r="M65" s="11" t="s">
        <v>90</v>
      </c>
      <c r="N65" s="35" t="s">
        <v>94</v>
      </c>
    </row>
    <row r="66" spans="1:14" x14ac:dyDescent="0.3">
      <c r="A66" s="16" t="s">
        <v>21</v>
      </c>
      <c r="B66" s="16" t="s">
        <v>10</v>
      </c>
      <c r="C66" s="11">
        <v>76871</v>
      </c>
      <c r="D66" s="11">
        <v>208178</v>
      </c>
      <c r="E66" s="31">
        <v>46260</v>
      </c>
      <c r="F66" s="16" t="s">
        <v>88</v>
      </c>
      <c r="G66" s="22">
        <v>35898</v>
      </c>
      <c r="H66" s="33">
        <v>19.030242000000001</v>
      </c>
      <c r="I66" s="31">
        <v>46260</v>
      </c>
      <c r="J66" s="34">
        <v>0</v>
      </c>
      <c r="K66" s="21">
        <f t="shared" si="0"/>
        <v>683147.62731600006</v>
      </c>
      <c r="L66" s="16" t="s">
        <v>92</v>
      </c>
      <c r="M66" s="11" t="s">
        <v>90</v>
      </c>
      <c r="N66" s="35" t="s">
        <v>92</v>
      </c>
    </row>
    <row r="67" spans="1:14" x14ac:dyDescent="0.3">
      <c r="A67" s="16" t="s">
        <v>21</v>
      </c>
      <c r="B67" s="16" t="s">
        <v>10</v>
      </c>
      <c r="C67" s="11">
        <v>76969</v>
      </c>
      <c r="D67" s="11">
        <v>208321</v>
      </c>
      <c r="E67" s="31">
        <v>46261</v>
      </c>
      <c r="F67" s="16" t="s">
        <v>88</v>
      </c>
      <c r="G67" s="22">
        <v>35858</v>
      </c>
      <c r="H67" s="33">
        <v>19.030242000000001</v>
      </c>
      <c r="I67" s="31">
        <v>46264</v>
      </c>
      <c r="J67" s="34">
        <v>3</v>
      </c>
      <c r="K67" s="21">
        <f t="shared" si="0"/>
        <v>682386.41763600009</v>
      </c>
      <c r="L67" s="16" t="s">
        <v>95</v>
      </c>
      <c r="M67" s="11" t="s">
        <v>90</v>
      </c>
      <c r="N67" s="35" t="s">
        <v>95</v>
      </c>
    </row>
    <row r="68" spans="1:14" x14ac:dyDescent="0.3">
      <c r="A68" s="16" t="s">
        <v>21</v>
      </c>
      <c r="B68" s="16" t="s">
        <v>10</v>
      </c>
      <c r="C68" s="11">
        <v>77073</v>
      </c>
      <c r="D68" s="11">
        <v>208524</v>
      </c>
      <c r="E68" s="31">
        <v>46263</v>
      </c>
      <c r="F68" s="16" t="s">
        <v>88</v>
      </c>
      <c r="G68" s="22">
        <v>35920</v>
      </c>
      <c r="H68" s="33">
        <v>19.030242000000001</v>
      </c>
      <c r="I68" s="31">
        <v>46264</v>
      </c>
      <c r="J68" s="34">
        <v>1</v>
      </c>
      <c r="K68" s="21">
        <f t="shared" si="0"/>
        <v>683566.29264</v>
      </c>
      <c r="L68" s="16" t="s">
        <v>94</v>
      </c>
      <c r="M68" s="11" t="s">
        <v>90</v>
      </c>
      <c r="N68" s="35" t="s">
        <v>94</v>
      </c>
    </row>
    <row r="69" spans="1:14" x14ac:dyDescent="0.3">
      <c r="A69" s="16" t="s">
        <v>21</v>
      </c>
      <c r="B69" s="16" t="s">
        <v>10</v>
      </c>
      <c r="C69" s="11">
        <v>77144</v>
      </c>
      <c r="D69" s="11">
        <v>208670</v>
      </c>
      <c r="E69" s="31">
        <v>46265</v>
      </c>
      <c r="F69" s="16" t="s">
        <v>88</v>
      </c>
      <c r="G69" s="22">
        <v>33465</v>
      </c>
      <c r="H69" s="33">
        <v>19.030242000000001</v>
      </c>
      <c r="I69" s="31" t="str">
        <f>IF(COUNTIFS('Registros manuales'!$E$5:$E$104,C69,'Registros manuales'!$A$5:$A$104,A69,'Registros manuales'!$B$5:$B$104,B69)&gt;0,SUMIFS('Registros manuales'!$C$5:$C$104,'Registros manuales'!$E$5:$E$104,C69,'Registros manuales'!$A$5:$A$104,A69,'Registros manuales'!$B$5:$B$104,B69),IF(COUNTIFS('Registros manuales'!$A$5:$A$104,A69,'Registros manuales'!$B$5:$B$104,B69,'Registros manuales'!$E$5:$E$104,"",'Registros manuales'!$D$5:$D$104,"&gt;="&amp;(G69-Parámetros!$C$8),'Registros manuales'!$D$5:$D$104,"&lt;="&amp;(G69+Parámetros!$C$8))&gt;0,SUMIFS('Registros manuales'!$C$5:$C$104,'Registros manuales'!$A$5:$A$104,A69,'Registros manuales'!$B$5:$B$104,B69,'Registros manuales'!$E$5:$E$104,"",'Registros manuales'!$D$5:$D$104,"&gt;="&amp;(G69-Parámetros!$C$8),'Registros manuales'!$D$5:$D$104,"&lt;="&amp;(G69+Parámetros!$C$8)),""))</f>
        <v/>
      </c>
      <c r="J69" s="34" t="str">
        <f>IF(I69="","",I69-E69)</f>
        <v/>
      </c>
      <c r="K69" s="21">
        <f t="shared" ref="K69:K132" si="1">G69*H69</f>
        <v>636847.04853000003</v>
      </c>
      <c r="L69" s="16" t="str">
        <f>IF(OR(COUNTIFS('Registros manuales'!$E$5:$E$104,C69,'Registros manuales'!$A$5:$A$104,A69,'Registros manuales'!$B$5:$B$104,B69)&gt;0,COUNTIFS('Registros manuales'!$A$5:$A$104,A69,'Registros manuales'!$B$5:$B$104,B69,'Registros manuales'!$E$5:$E$104,"",'Registros manuales'!$D$5:$D$104,"&gt;="&amp;(G69-Parámetros!$C$8),'Registros manuales'!$D$5:$D$104,"&lt;="&amp;(G69+Parámetros!$C$8))&gt;0),"REGISTRO MANUAL el "&amp;TEXT(I69,"dd/mm"),N69)</f>
        <v>NO REGISTRADA (posible registro en el mes siguiente)</v>
      </c>
      <c r="M69" s="11" t="s">
        <v>90</v>
      </c>
      <c r="N69" s="35" t="s">
        <v>96</v>
      </c>
    </row>
    <row r="70" spans="1:14" x14ac:dyDescent="0.3">
      <c r="A70" s="16" t="s">
        <v>22</v>
      </c>
      <c r="B70" s="16" t="s">
        <v>12</v>
      </c>
      <c r="C70" s="11">
        <v>75602</v>
      </c>
      <c r="D70" s="11">
        <v>206058</v>
      </c>
      <c r="E70" s="31">
        <v>46238</v>
      </c>
      <c r="F70" s="16" t="s">
        <v>88</v>
      </c>
      <c r="G70" s="22">
        <v>19962</v>
      </c>
      <c r="H70" s="33">
        <v>21.381146000000001</v>
      </c>
      <c r="I70" s="31"/>
      <c r="J70" s="34"/>
      <c r="K70" s="21">
        <f t="shared" si="1"/>
        <v>426810.43645199999</v>
      </c>
      <c r="L70" s="16" t="s">
        <v>89</v>
      </c>
      <c r="M70" s="11" t="s">
        <v>90</v>
      </c>
      <c r="N70" s="35" t="s">
        <v>89</v>
      </c>
    </row>
    <row r="71" spans="1:14" x14ac:dyDescent="0.3">
      <c r="A71" s="16" t="s">
        <v>22</v>
      </c>
      <c r="B71" s="16" t="s">
        <v>12</v>
      </c>
      <c r="C71" s="11">
        <v>76028</v>
      </c>
      <c r="D71" s="11">
        <v>206921</v>
      </c>
      <c r="E71" s="31">
        <v>46245</v>
      </c>
      <c r="F71" s="16" t="s">
        <v>88</v>
      </c>
      <c r="G71" s="22">
        <v>10131</v>
      </c>
      <c r="H71" s="33">
        <v>21.984604000000001</v>
      </c>
      <c r="I71" s="31"/>
      <c r="J71" s="34"/>
      <c r="K71" s="21">
        <f t="shared" si="1"/>
        <v>222726.023124</v>
      </c>
      <c r="L71" s="16" t="s">
        <v>89</v>
      </c>
      <c r="M71" s="11" t="s">
        <v>90</v>
      </c>
      <c r="N71" s="35" t="s">
        <v>89</v>
      </c>
    </row>
    <row r="72" spans="1:14" x14ac:dyDescent="0.3">
      <c r="A72" s="16" t="s">
        <v>22</v>
      </c>
      <c r="B72" s="16" t="s">
        <v>12</v>
      </c>
      <c r="C72" s="11">
        <v>76344</v>
      </c>
      <c r="D72" s="11">
        <v>207425</v>
      </c>
      <c r="E72" s="31">
        <v>46251</v>
      </c>
      <c r="F72" s="16" t="s">
        <v>88</v>
      </c>
      <c r="G72" s="22">
        <v>29880</v>
      </c>
      <c r="H72" s="33">
        <v>21.965964</v>
      </c>
      <c r="I72" s="31"/>
      <c r="J72" s="34"/>
      <c r="K72" s="21">
        <f t="shared" si="1"/>
        <v>656343.00431999995</v>
      </c>
      <c r="L72" s="16" t="s">
        <v>89</v>
      </c>
      <c r="M72" s="11" t="s">
        <v>90</v>
      </c>
      <c r="N72" s="35" t="s">
        <v>89</v>
      </c>
    </row>
    <row r="73" spans="1:14" x14ac:dyDescent="0.3">
      <c r="A73" s="16" t="s">
        <v>22</v>
      </c>
      <c r="B73" s="16" t="s">
        <v>12</v>
      </c>
      <c r="C73" s="11">
        <v>76802</v>
      </c>
      <c r="D73" s="11">
        <v>208067</v>
      </c>
      <c r="E73" s="31">
        <v>46259</v>
      </c>
      <c r="F73" s="16" t="s">
        <v>88</v>
      </c>
      <c r="G73" s="22">
        <v>29943</v>
      </c>
      <c r="H73" s="33">
        <v>21.633734</v>
      </c>
      <c r="I73" s="31"/>
      <c r="J73" s="34"/>
      <c r="K73" s="21">
        <f t="shared" si="1"/>
        <v>647778.89716200007</v>
      </c>
      <c r="L73" s="16" t="s">
        <v>89</v>
      </c>
      <c r="M73" s="11" t="s">
        <v>90</v>
      </c>
      <c r="N73" s="35" t="s">
        <v>89</v>
      </c>
    </row>
    <row r="74" spans="1:14" x14ac:dyDescent="0.3">
      <c r="A74" s="16" t="s">
        <v>22</v>
      </c>
      <c r="B74" s="16" t="s">
        <v>11</v>
      </c>
      <c r="C74" s="11">
        <v>76869</v>
      </c>
      <c r="D74" s="11">
        <v>208166</v>
      </c>
      <c r="E74" s="31">
        <v>46260</v>
      </c>
      <c r="F74" s="16" t="s">
        <v>88</v>
      </c>
      <c r="G74" s="22">
        <v>10087</v>
      </c>
      <c r="H74" s="33">
        <v>22.570291999999998</v>
      </c>
      <c r="I74" s="31"/>
      <c r="J74" s="34"/>
      <c r="K74" s="21">
        <f t="shared" si="1"/>
        <v>227666.53540399999</v>
      </c>
      <c r="L74" s="16" t="s">
        <v>89</v>
      </c>
      <c r="M74" s="11" t="s">
        <v>90</v>
      </c>
      <c r="N74" s="35" t="s">
        <v>89</v>
      </c>
    </row>
    <row r="75" spans="1:14" x14ac:dyDescent="0.3">
      <c r="A75" s="16" t="s">
        <v>22</v>
      </c>
      <c r="B75" s="16" t="s">
        <v>10</v>
      </c>
      <c r="C75" s="11">
        <v>75601</v>
      </c>
      <c r="D75" s="11">
        <v>206057</v>
      </c>
      <c r="E75" s="31">
        <v>46238</v>
      </c>
      <c r="F75" s="16" t="s">
        <v>88</v>
      </c>
      <c r="G75" s="22">
        <v>10159</v>
      </c>
      <c r="H75" s="33">
        <v>18.867639</v>
      </c>
      <c r="I75" s="31"/>
      <c r="J75" s="34"/>
      <c r="K75" s="21">
        <f t="shared" si="1"/>
        <v>191676.34460100002</v>
      </c>
      <c r="L75" s="16" t="s">
        <v>89</v>
      </c>
      <c r="M75" s="11" t="s">
        <v>90</v>
      </c>
      <c r="N75" s="35" t="s">
        <v>89</v>
      </c>
    </row>
    <row r="76" spans="1:14" x14ac:dyDescent="0.3">
      <c r="A76" s="16" t="s">
        <v>22</v>
      </c>
      <c r="B76" s="16" t="s">
        <v>10</v>
      </c>
      <c r="C76" s="11">
        <v>76029</v>
      </c>
      <c r="D76" s="11">
        <v>206922</v>
      </c>
      <c r="E76" s="31">
        <v>46245</v>
      </c>
      <c r="F76" s="16" t="s">
        <v>88</v>
      </c>
      <c r="G76" s="22">
        <v>19957</v>
      </c>
      <c r="H76" s="33">
        <v>19.016909999999999</v>
      </c>
      <c r="I76" s="31"/>
      <c r="J76" s="34"/>
      <c r="K76" s="21">
        <f t="shared" si="1"/>
        <v>379520.47287</v>
      </c>
      <c r="L76" s="16" t="s">
        <v>89</v>
      </c>
      <c r="M76" s="11" t="s">
        <v>90</v>
      </c>
      <c r="N76" s="35" t="s">
        <v>89</v>
      </c>
    </row>
    <row r="77" spans="1:14" x14ac:dyDescent="0.3">
      <c r="A77" s="16" t="s">
        <v>22</v>
      </c>
      <c r="B77" s="16" t="s">
        <v>10</v>
      </c>
      <c r="C77" s="11">
        <v>76416</v>
      </c>
      <c r="D77" s="11">
        <v>207520</v>
      </c>
      <c r="E77" s="31">
        <v>46252</v>
      </c>
      <c r="F77" s="16" t="s">
        <v>88</v>
      </c>
      <c r="G77" s="22">
        <v>29801</v>
      </c>
      <c r="H77" s="33">
        <v>19.016909999999999</v>
      </c>
      <c r="I77" s="31"/>
      <c r="J77" s="34"/>
      <c r="K77" s="21">
        <f t="shared" si="1"/>
        <v>566722.93490999995</v>
      </c>
      <c r="L77" s="16" t="s">
        <v>89</v>
      </c>
      <c r="M77" s="11" t="s">
        <v>90</v>
      </c>
      <c r="N77" s="35" t="s">
        <v>89</v>
      </c>
    </row>
    <row r="78" spans="1:14" x14ac:dyDescent="0.3">
      <c r="A78" s="16" t="s">
        <v>22</v>
      </c>
      <c r="B78" s="16" t="s">
        <v>10</v>
      </c>
      <c r="C78" s="11">
        <v>76870</v>
      </c>
      <c r="D78" s="11">
        <v>208167</v>
      </c>
      <c r="E78" s="31">
        <v>46260</v>
      </c>
      <c r="F78" s="16" t="s">
        <v>88</v>
      </c>
      <c r="G78" s="22">
        <v>19855</v>
      </c>
      <c r="H78" s="33">
        <v>19.016909999999999</v>
      </c>
      <c r="I78" s="31"/>
      <c r="J78" s="34"/>
      <c r="K78" s="21">
        <f t="shared" si="1"/>
        <v>377580.74804999999</v>
      </c>
      <c r="L78" s="16" t="s">
        <v>89</v>
      </c>
      <c r="M78" s="11" t="s">
        <v>90</v>
      </c>
      <c r="N78" s="35" t="s">
        <v>89</v>
      </c>
    </row>
    <row r="79" spans="1:14" x14ac:dyDescent="0.3">
      <c r="A79" s="16" t="s">
        <v>23</v>
      </c>
      <c r="B79" s="16" t="s">
        <v>12</v>
      </c>
      <c r="C79" s="11">
        <v>75490</v>
      </c>
      <c r="D79" s="11">
        <v>205811</v>
      </c>
      <c r="E79" s="31">
        <v>46235</v>
      </c>
      <c r="F79" s="16" t="s">
        <v>88</v>
      </c>
      <c r="G79" s="22">
        <v>33447</v>
      </c>
      <c r="H79" s="33">
        <v>21.627925999999999</v>
      </c>
      <c r="I79" s="31">
        <v>46236</v>
      </c>
      <c r="J79" s="34">
        <v>1</v>
      </c>
      <c r="K79" s="21">
        <f t="shared" si="1"/>
        <v>723389.24092199991</v>
      </c>
      <c r="L79" s="16" t="s">
        <v>94</v>
      </c>
      <c r="M79" s="11" t="s">
        <v>90</v>
      </c>
      <c r="N79" s="35" t="s">
        <v>94</v>
      </c>
    </row>
    <row r="80" spans="1:14" x14ac:dyDescent="0.3">
      <c r="A80" s="16" t="s">
        <v>23</v>
      </c>
      <c r="B80" s="16" t="s">
        <v>12</v>
      </c>
      <c r="C80" s="11">
        <v>75713</v>
      </c>
      <c r="D80" s="11">
        <v>206257</v>
      </c>
      <c r="E80" s="31">
        <v>46239</v>
      </c>
      <c r="F80" s="16" t="s">
        <v>88</v>
      </c>
      <c r="G80" s="22">
        <v>29862</v>
      </c>
      <c r="H80" s="33">
        <v>21.200768</v>
      </c>
      <c r="I80" s="31">
        <v>46239</v>
      </c>
      <c r="J80" s="34">
        <v>0</v>
      </c>
      <c r="K80" s="21">
        <f t="shared" si="1"/>
        <v>633097.33401600004</v>
      </c>
      <c r="L80" s="16" t="s">
        <v>92</v>
      </c>
      <c r="M80" s="11" t="s">
        <v>90</v>
      </c>
      <c r="N80" s="35" t="s">
        <v>92</v>
      </c>
    </row>
    <row r="81" spans="1:14" x14ac:dyDescent="0.3">
      <c r="A81" s="16" t="s">
        <v>23</v>
      </c>
      <c r="B81" s="16" t="s">
        <v>12</v>
      </c>
      <c r="C81" s="11">
        <v>75889</v>
      </c>
      <c r="D81" s="11">
        <v>206671</v>
      </c>
      <c r="E81" s="31">
        <v>46242</v>
      </c>
      <c r="F81" s="16" t="s">
        <v>88</v>
      </c>
      <c r="G81" s="22">
        <v>29896</v>
      </c>
      <c r="H81" s="33">
        <v>21.459389000000002</v>
      </c>
      <c r="I81" s="31">
        <v>46242</v>
      </c>
      <c r="J81" s="34">
        <v>0</v>
      </c>
      <c r="K81" s="21">
        <f t="shared" si="1"/>
        <v>641549.89354399999</v>
      </c>
      <c r="L81" s="16" t="s">
        <v>92</v>
      </c>
      <c r="M81" s="11" t="s">
        <v>90</v>
      </c>
      <c r="N81" s="35" t="s">
        <v>92</v>
      </c>
    </row>
    <row r="82" spans="1:14" x14ac:dyDescent="0.3">
      <c r="A82" s="16" t="s">
        <v>23</v>
      </c>
      <c r="B82" s="16" t="s">
        <v>12</v>
      </c>
      <c r="C82" s="11">
        <v>76111</v>
      </c>
      <c r="D82" s="11">
        <v>207037</v>
      </c>
      <c r="E82" s="31">
        <v>46246</v>
      </c>
      <c r="F82" s="16" t="s">
        <v>88</v>
      </c>
      <c r="G82" s="22">
        <v>29953</v>
      </c>
      <c r="H82" s="33">
        <v>22.019732999999999</v>
      </c>
      <c r="I82" s="31">
        <v>46246</v>
      </c>
      <c r="J82" s="34">
        <v>0</v>
      </c>
      <c r="K82" s="21">
        <f t="shared" si="1"/>
        <v>659557.06254899991</v>
      </c>
      <c r="L82" s="16" t="s">
        <v>92</v>
      </c>
      <c r="M82" s="11" t="s">
        <v>90</v>
      </c>
      <c r="N82" s="35" t="s">
        <v>92</v>
      </c>
    </row>
    <row r="83" spans="1:14" x14ac:dyDescent="0.3">
      <c r="A83" s="16" t="s">
        <v>23</v>
      </c>
      <c r="B83" s="16" t="s">
        <v>12</v>
      </c>
      <c r="C83" s="11">
        <v>76280</v>
      </c>
      <c r="D83" s="11">
        <v>207306</v>
      </c>
      <c r="E83" s="31">
        <v>46249</v>
      </c>
      <c r="F83" s="16" t="s">
        <v>88</v>
      </c>
      <c r="G83" s="22">
        <v>29894</v>
      </c>
      <c r="H83" s="33">
        <v>21.914887</v>
      </c>
      <c r="I83" s="31">
        <v>46249</v>
      </c>
      <c r="J83" s="34">
        <v>0</v>
      </c>
      <c r="K83" s="21">
        <f t="shared" si="1"/>
        <v>655123.63197800005</v>
      </c>
      <c r="L83" s="16" t="s">
        <v>92</v>
      </c>
      <c r="M83" s="11" t="s">
        <v>90</v>
      </c>
      <c r="N83" s="35" t="s">
        <v>92</v>
      </c>
    </row>
    <row r="84" spans="1:14" x14ac:dyDescent="0.3">
      <c r="A84" s="16" t="s">
        <v>23</v>
      </c>
      <c r="B84" s="16" t="s">
        <v>12</v>
      </c>
      <c r="C84" s="11">
        <v>76503</v>
      </c>
      <c r="D84" s="11">
        <v>207619</v>
      </c>
      <c r="E84" s="31">
        <v>46253</v>
      </c>
      <c r="F84" s="16" t="s">
        <v>88</v>
      </c>
      <c r="G84" s="22">
        <v>29966</v>
      </c>
      <c r="H84" s="33">
        <v>22.018335</v>
      </c>
      <c r="I84" s="31">
        <v>46254</v>
      </c>
      <c r="J84" s="34">
        <v>1</v>
      </c>
      <c r="K84" s="21">
        <f t="shared" si="1"/>
        <v>659801.42660999997</v>
      </c>
      <c r="L84" s="16" t="s">
        <v>94</v>
      </c>
      <c r="M84" s="11" t="s">
        <v>90</v>
      </c>
      <c r="N84" s="35" t="s">
        <v>94</v>
      </c>
    </row>
    <row r="85" spans="1:14" x14ac:dyDescent="0.3">
      <c r="A85" s="16" t="s">
        <v>23</v>
      </c>
      <c r="B85" s="16" t="s">
        <v>12</v>
      </c>
      <c r="C85" s="11">
        <v>76666</v>
      </c>
      <c r="D85" s="11">
        <v>207852</v>
      </c>
      <c r="E85" s="31">
        <v>46256</v>
      </c>
      <c r="F85" s="16" t="s">
        <v>88</v>
      </c>
      <c r="G85" s="22">
        <v>29915</v>
      </c>
      <c r="H85" s="33">
        <v>21.932127999999999</v>
      </c>
      <c r="I85" s="31">
        <v>46256</v>
      </c>
      <c r="J85" s="34">
        <v>0</v>
      </c>
      <c r="K85" s="21">
        <f t="shared" si="1"/>
        <v>656099.60911999992</v>
      </c>
      <c r="L85" s="16" t="s">
        <v>92</v>
      </c>
      <c r="M85" s="11" t="s">
        <v>90</v>
      </c>
      <c r="N85" s="35" t="s">
        <v>92</v>
      </c>
    </row>
    <row r="86" spans="1:14" x14ac:dyDescent="0.3">
      <c r="A86" s="16" t="s">
        <v>23</v>
      </c>
      <c r="B86" s="16" t="s">
        <v>12</v>
      </c>
      <c r="C86" s="11">
        <v>76881</v>
      </c>
      <c r="D86" s="11">
        <v>208194</v>
      </c>
      <c r="E86" s="31">
        <v>46260</v>
      </c>
      <c r="F86" s="16" t="s">
        <v>88</v>
      </c>
      <c r="G86" s="22">
        <v>29912</v>
      </c>
      <c r="H86" s="33">
        <v>21.582657000000001</v>
      </c>
      <c r="I86" s="31">
        <v>46260</v>
      </c>
      <c r="J86" s="34">
        <v>0</v>
      </c>
      <c r="K86" s="21">
        <f t="shared" si="1"/>
        <v>645580.43618399999</v>
      </c>
      <c r="L86" s="16" t="s">
        <v>92</v>
      </c>
      <c r="M86" s="11" t="s">
        <v>90</v>
      </c>
      <c r="N86" s="35" t="s">
        <v>92</v>
      </c>
    </row>
    <row r="87" spans="1:14" x14ac:dyDescent="0.3">
      <c r="A87" s="16" t="s">
        <v>23</v>
      </c>
      <c r="B87" s="16" t="s">
        <v>12</v>
      </c>
      <c r="C87" s="11">
        <v>77068</v>
      </c>
      <c r="D87" s="11">
        <v>208494</v>
      </c>
      <c r="E87" s="31">
        <v>46263</v>
      </c>
      <c r="F87" s="16" t="s">
        <v>88</v>
      </c>
      <c r="G87" s="22">
        <v>30094</v>
      </c>
      <c r="H87" s="33">
        <v>21.582657000000001</v>
      </c>
      <c r="I87" s="31">
        <v>46263</v>
      </c>
      <c r="J87" s="34">
        <v>0</v>
      </c>
      <c r="K87" s="21">
        <f t="shared" si="1"/>
        <v>649508.479758</v>
      </c>
      <c r="L87" s="16" t="s">
        <v>92</v>
      </c>
      <c r="M87" s="11" t="s">
        <v>90</v>
      </c>
      <c r="N87" s="35" t="s">
        <v>92</v>
      </c>
    </row>
    <row r="88" spans="1:14" x14ac:dyDescent="0.3">
      <c r="A88" s="16" t="s">
        <v>23</v>
      </c>
      <c r="B88" s="16" t="s">
        <v>11</v>
      </c>
      <c r="C88" s="11">
        <v>76201</v>
      </c>
      <c r="D88" s="11">
        <v>207182</v>
      </c>
      <c r="E88" s="31">
        <v>46248</v>
      </c>
      <c r="F88" s="16" t="s">
        <v>88</v>
      </c>
      <c r="G88" s="22">
        <v>10181</v>
      </c>
      <c r="H88" s="33">
        <v>22.179071</v>
      </c>
      <c r="I88" s="31">
        <v>46248</v>
      </c>
      <c r="J88" s="34">
        <v>0</v>
      </c>
      <c r="K88" s="21">
        <f t="shared" si="1"/>
        <v>225805.121851</v>
      </c>
      <c r="L88" s="16" t="s">
        <v>92</v>
      </c>
      <c r="M88" s="11" t="s">
        <v>90</v>
      </c>
      <c r="N88" s="35" t="s">
        <v>92</v>
      </c>
    </row>
    <row r="89" spans="1:14" x14ac:dyDescent="0.3">
      <c r="A89" s="16" t="s">
        <v>23</v>
      </c>
      <c r="B89" s="16" t="s">
        <v>11</v>
      </c>
      <c r="C89" s="11">
        <v>76202</v>
      </c>
      <c r="D89" s="11">
        <v>207183</v>
      </c>
      <c r="E89" s="31">
        <v>46248</v>
      </c>
      <c r="F89" s="16" t="s">
        <v>88</v>
      </c>
      <c r="G89" s="22">
        <v>19977</v>
      </c>
      <c r="H89" s="33">
        <v>22.179071</v>
      </c>
      <c r="I89" s="31">
        <v>46248</v>
      </c>
      <c r="J89" s="34">
        <v>0</v>
      </c>
      <c r="K89" s="21">
        <f t="shared" si="1"/>
        <v>443071.30136700004</v>
      </c>
      <c r="L89" s="16" t="s">
        <v>92</v>
      </c>
      <c r="M89" s="11" t="s">
        <v>90</v>
      </c>
      <c r="N89" s="35" t="s">
        <v>92</v>
      </c>
    </row>
    <row r="90" spans="1:14" x14ac:dyDescent="0.3">
      <c r="A90" s="16" t="s">
        <v>23</v>
      </c>
      <c r="B90" s="16" t="s">
        <v>11</v>
      </c>
      <c r="C90" s="11">
        <v>77150</v>
      </c>
      <c r="D90" s="11">
        <v>208691</v>
      </c>
      <c r="E90" s="31">
        <v>46265</v>
      </c>
      <c r="F90" s="16" t="s">
        <v>88</v>
      </c>
      <c r="G90" s="22">
        <v>29943</v>
      </c>
      <c r="H90" s="33">
        <v>22.645420999999999</v>
      </c>
      <c r="I90" s="31">
        <v>46265</v>
      </c>
      <c r="J90" s="34">
        <v>0</v>
      </c>
      <c r="K90" s="21">
        <f t="shared" si="1"/>
        <v>678071.84100299992</v>
      </c>
      <c r="L90" s="16" t="s">
        <v>92</v>
      </c>
      <c r="M90" s="11" t="s">
        <v>90</v>
      </c>
      <c r="N90" s="35" t="s">
        <v>92</v>
      </c>
    </row>
    <row r="91" spans="1:14" x14ac:dyDescent="0.3">
      <c r="A91" s="16" t="s">
        <v>23</v>
      </c>
      <c r="B91" s="16" t="s">
        <v>10</v>
      </c>
      <c r="C91" s="11">
        <v>75488</v>
      </c>
      <c r="D91" s="11">
        <v>205812</v>
      </c>
      <c r="E91" s="31">
        <v>46235</v>
      </c>
      <c r="F91" s="16" t="s">
        <v>88</v>
      </c>
      <c r="G91" s="22">
        <v>33506</v>
      </c>
      <c r="H91" s="33">
        <v>18.923974999999999</v>
      </c>
      <c r="I91" s="31">
        <v>46236</v>
      </c>
      <c r="J91" s="34">
        <v>1</v>
      </c>
      <c r="K91" s="21">
        <f t="shared" si="1"/>
        <v>634066.70634999999</v>
      </c>
      <c r="L91" s="16" t="s">
        <v>94</v>
      </c>
      <c r="M91" s="11" t="s">
        <v>90</v>
      </c>
      <c r="N91" s="35" t="s">
        <v>94</v>
      </c>
    </row>
    <row r="92" spans="1:14" x14ac:dyDescent="0.3">
      <c r="A92" s="16" t="s">
        <v>23</v>
      </c>
      <c r="B92" s="16" t="s">
        <v>10</v>
      </c>
      <c r="C92" s="11">
        <v>75570</v>
      </c>
      <c r="D92" s="11">
        <v>206002</v>
      </c>
      <c r="E92" s="31">
        <v>46237</v>
      </c>
      <c r="F92" s="16" t="s">
        <v>88</v>
      </c>
      <c r="G92" s="22">
        <v>29835</v>
      </c>
      <c r="H92" s="33">
        <v>18.923974999999999</v>
      </c>
      <c r="I92" s="31">
        <v>46237</v>
      </c>
      <c r="J92" s="34">
        <v>0</v>
      </c>
      <c r="K92" s="21">
        <f t="shared" si="1"/>
        <v>564596.79412500001</v>
      </c>
      <c r="L92" s="16" t="s">
        <v>92</v>
      </c>
      <c r="M92" s="11" t="s">
        <v>90</v>
      </c>
      <c r="N92" s="35" t="s">
        <v>92</v>
      </c>
    </row>
    <row r="93" spans="1:14" x14ac:dyDescent="0.3">
      <c r="A93" s="16" t="s">
        <v>23</v>
      </c>
      <c r="B93" s="16" t="s">
        <v>10</v>
      </c>
      <c r="C93" s="11">
        <v>75712</v>
      </c>
      <c r="D93" s="11">
        <v>206258</v>
      </c>
      <c r="E93" s="31">
        <v>46239</v>
      </c>
      <c r="F93" s="16" t="s">
        <v>88</v>
      </c>
      <c r="G93" s="22">
        <v>29860</v>
      </c>
      <c r="H93" s="33">
        <v>18.557307000000002</v>
      </c>
      <c r="I93" s="31">
        <v>46239</v>
      </c>
      <c r="J93" s="34">
        <v>0</v>
      </c>
      <c r="K93" s="21">
        <f t="shared" si="1"/>
        <v>554121.18702000007</v>
      </c>
      <c r="L93" s="16" t="s">
        <v>92</v>
      </c>
      <c r="M93" s="11" t="s">
        <v>90</v>
      </c>
      <c r="N93" s="35" t="s">
        <v>92</v>
      </c>
    </row>
    <row r="94" spans="1:14" x14ac:dyDescent="0.3">
      <c r="A94" s="16" t="s">
        <v>23</v>
      </c>
      <c r="B94" s="16" t="s">
        <v>10</v>
      </c>
      <c r="C94" s="11">
        <v>75864</v>
      </c>
      <c r="D94" s="11">
        <v>206617</v>
      </c>
      <c r="E94" s="31">
        <v>46242</v>
      </c>
      <c r="F94" s="16" t="s">
        <v>88</v>
      </c>
      <c r="G94" s="22">
        <v>30210</v>
      </c>
      <c r="H94" s="33">
        <v>18.642212000000001</v>
      </c>
      <c r="I94" s="31">
        <v>46242</v>
      </c>
      <c r="J94" s="34">
        <v>0</v>
      </c>
      <c r="K94" s="21">
        <f t="shared" si="1"/>
        <v>563181.22452000005</v>
      </c>
      <c r="L94" s="16" t="s">
        <v>92</v>
      </c>
      <c r="M94" s="11" t="s">
        <v>90</v>
      </c>
      <c r="N94" s="35" t="s">
        <v>92</v>
      </c>
    </row>
    <row r="95" spans="1:14" x14ac:dyDescent="0.3">
      <c r="A95" s="16" t="s">
        <v>23</v>
      </c>
      <c r="B95" s="16" t="s">
        <v>10</v>
      </c>
      <c r="C95" s="11">
        <v>75865</v>
      </c>
      <c r="D95" s="11">
        <v>206618</v>
      </c>
      <c r="E95" s="31">
        <v>46242</v>
      </c>
      <c r="F95" s="16" t="s">
        <v>88</v>
      </c>
      <c r="G95" s="22">
        <v>30042</v>
      </c>
      <c r="H95" s="33">
        <v>18.642212000000001</v>
      </c>
      <c r="I95" s="31">
        <v>46242</v>
      </c>
      <c r="J95" s="34">
        <v>0</v>
      </c>
      <c r="K95" s="21">
        <f t="shared" si="1"/>
        <v>560049.33290400007</v>
      </c>
      <c r="L95" s="16" t="s">
        <v>92</v>
      </c>
      <c r="M95" s="11" t="s">
        <v>90</v>
      </c>
      <c r="N95" s="35" t="s">
        <v>92</v>
      </c>
    </row>
    <row r="96" spans="1:14" x14ac:dyDescent="0.3">
      <c r="A96" s="16" t="s">
        <v>23</v>
      </c>
      <c r="B96" s="16" t="s">
        <v>10</v>
      </c>
      <c r="C96" s="11">
        <v>75988</v>
      </c>
      <c r="D96" s="11">
        <v>206839</v>
      </c>
      <c r="E96" s="31">
        <v>46244</v>
      </c>
      <c r="F96" s="16" t="s">
        <v>88</v>
      </c>
      <c r="G96" s="22">
        <v>29868</v>
      </c>
      <c r="H96" s="33">
        <v>18.642212000000001</v>
      </c>
      <c r="I96" s="31">
        <v>46244</v>
      </c>
      <c r="J96" s="34">
        <v>0</v>
      </c>
      <c r="K96" s="21">
        <f t="shared" si="1"/>
        <v>556805.58801599999</v>
      </c>
      <c r="L96" s="16" t="s">
        <v>92</v>
      </c>
      <c r="M96" s="11" t="s">
        <v>90</v>
      </c>
      <c r="N96" s="35" t="s">
        <v>92</v>
      </c>
    </row>
    <row r="97" spans="1:14" x14ac:dyDescent="0.3">
      <c r="A97" s="16" t="s">
        <v>23</v>
      </c>
      <c r="B97" s="16" t="s">
        <v>10</v>
      </c>
      <c r="C97" s="11">
        <v>76110</v>
      </c>
      <c r="D97" s="11">
        <v>207038</v>
      </c>
      <c r="E97" s="31">
        <v>46246</v>
      </c>
      <c r="F97" s="16" t="s">
        <v>88</v>
      </c>
      <c r="G97" s="22">
        <v>29985</v>
      </c>
      <c r="H97" s="33">
        <v>18.900832000000001</v>
      </c>
      <c r="I97" s="31">
        <v>46246</v>
      </c>
      <c r="J97" s="34">
        <v>0</v>
      </c>
      <c r="K97" s="21">
        <f t="shared" si="1"/>
        <v>566741.44752000005</v>
      </c>
      <c r="L97" s="16" t="s">
        <v>92</v>
      </c>
      <c r="M97" s="11" t="s">
        <v>90</v>
      </c>
      <c r="N97" s="35" t="s">
        <v>92</v>
      </c>
    </row>
    <row r="98" spans="1:14" x14ac:dyDescent="0.3">
      <c r="A98" s="16" t="s">
        <v>23</v>
      </c>
      <c r="B98" s="16" t="s">
        <v>10</v>
      </c>
      <c r="C98" s="11">
        <v>76279</v>
      </c>
      <c r="D98" s="11">
        <v>207307</v>
      </c>
      <c r="E98" s="31">
        <v>46249</v>
      </c>
      <c r="F98" s="16" t="s">
        <v>88</v>
      </c>
      <c r="G98" s="22">
        <v>29860</v>
      </c>
      <c r="H98" s="33">
        <v>18.900832000000001</v>
      </c>
      <c r="I98" s="31">
        <v>46249</v>
      </c>
      <c r="J98" s="34">
        <v>0</v>
      </c>
      <c r="K98" s="21">
        <f t="shared" si="1"/>
        <v>564378.84351999999</v>
      </c>
      <c r="L98" s="16" t="s">
        <v>92</v>
      </c>
      <c r="M98" s="11" t="s">
        <v>90</v>
      </c>
      <c r="N98" s="35" t="s">
        <v>92</v>
      </c>
    </row>
    <row r="99" spans="1:14" x14ac:dyDescent="0.3">
      <c r="A99" s="16" t="s">
        <v>23</v>
      </c>
      <c r="B99" s="16" t="s">
        <v>10</v>
      </c>
      <c r="C99" s="11">
        <v>76347</v>
      </c>
      <c r="D99" s="11">
        <v>207443</v>
      </c>
      <c r="E99" s="31">
        <v>46251</v>
      </c>
      <c r="F99" s="16" t="s">
        <v>88</v>
      </c>
      <c r="G99" s="22">
        <v>29771</v>
      </c>
      <c r="H99" s="33">
        <v>18.900832000000001</v>
      </c>
      <c r="I99" s="31">
        <v>46251</v>
      </c>
      <c r="J99" s="34">
        <v>0</v>
      </c>
      <c r="K99" s="21">
        <f t="shared" si="1"/>
        <v>562696.66947199998</v>
      </c>
      <c r="L99" s="16" t="s">
        <v>92</v>
      </c>
      <c r="M99" s="11" t="s">
        <v>90</v>
      </c>
      <c r="N99" s="35" t="s">
        <v>92</v>
      </c>
    </row>
    <row r="100" spans="1:14" x14ac:dyDescent="0.3">
      <c r="A100" s="16" t="s">
        <v>23</v>
      </c>
      <c r="B100" s="16" t="s">
        <v>10</v>
      </c>
      <c r="C100" s="11">
        <v>76348</v>
      </c>
      <c r="D100" s="11">
        <v>207442</v>
      </c>
      <c r="E100" s="31">
        <v>46251</v>
      </c>
      <c r="F100" s="16" t="s">
        <v>88</v>
      </c>
      <c r="G100" s="22">
        <v>29768</v>
      </c>
      <c r="H100" s="33">
        <v>18.900832000000001</v>
      </c>
      <c r="I100" s="31">
        <v>46251</v>
      </c>
      <c r="J100" s="34">
        <v>0</v>
      </c>
      <c r="K100" s="21">
        <f t="shared" si="1"/>
        <v>562639.966976</v>
      </c>
      <c r="L100" s="16" t="s">
        <v>92</v>
      </c>
      <c r="M100" s="11" t="s">
        <v>90</v>
      </c>
      <c r="N100" s="35" t="s">
        <v>92</v>
      </c>
    </row>
    <row r="101" spans="1:14" x14ac:dyDescent="0.3">
      <c r="A101" s="16" t="s">
        <v>23</v>
      </c>
      <c r="B101" s="16" t="s">
        <v>10</v>
      </c>
      <c r="C101" s="11">
        <v>76502</v>
      </c>
      <c r="D101" s="11">
        <v>207620</v>
      </c>
      <c r="E101" s="31">
        <v>46253</v>
      </c>
      <c r="F101" s="16" t="s">
        <v>88</v>
      </c>
      <c r="G101" s="22">
        <v>30019</v>
      </c>
      <c r="H101" s="33">
        <v>18.900832000000001</v>
      </c>
      <c r="I101" s="31">
        <v>46254</v>
      </c>
      <c r="J101" s="34">
        <v>1</v>
      </c>
      <c r="K101" s="21">
        <f t="shared" si="1"/>
        <v>567384.07580800005</v>
      </c>
      <c r="L101" s="16" t="s">
        <v>94</v>
      </c>
      <c r="M101" s="11" t="s">
        <v>90</v>
      </c>
      <c r="N101" s="35" t="s">
        <v>94</v>
      </c>
    </row>
    <row r="102" spans="1:14" x14ac:dyDescent="0.3">
      <c r="A102" s="16" t="s">
        <v>23</v>
      </c>
      <c r="B102" s="16" t="s">
        <v>10</v>
      </c>
      <c r="C102" s="11">
        <v>76665</v>
      </c>
      <c r="D102" s="11">
        <v>207853</v>
      </c>
      <c r="E102" s="31">
        <v>46256</v>
      </c>
      <c r="F102" s="16" t="s">
        <v>88</v>
      </c>
      <c r="G102" s="22">
        <v>29888</v>
      </c>
      <c r="H102" s="33">
        <v>18.900832000000001</v>
      </c>
      <c r="I102" s="31">
        <v>46256</v>
      </c>
      <c r="J102" s="34">
        <v>0</v>
      </c>
      <c r="K102" s="21">
        <f t="shared" si="1"/>
        <v>564908.06681600004</v>
      </c>
      <c r="L102" s="16" t="s">
        <v>92</v>
      </c>
      <c r="M102" s="11" t="s">
        <v>90</v>
      </c>
      <c r="N102" s="35" t="s">
        <v>92</v>
      </c>
    </row>
    <row r="103" spans="1:14" x14ac:dyDescent="0.3">
      <c r="A103" s="16" t="s">
        <v>23</v>
      </c>
      <c r="B103" s="16" t="s">
        <v>10</v>
      </c>
      <c r="C103" s="11">
        <v>76726</v>
      </c>
      <c r="D103" s="11">
        <v>207983</v>
      </c>
      <c r="E103" s="31">
        <v>46258</v>
      </c>
      <c r="F103" s="16" t="s">
        <v>88</v>
      </c>
      <c r="G103" s="22">
        <v>29985</v>
      </c>
      <c r="H103" s="33">
        <v>18.900832000000001</v>
      </c>
      <c r="I103" s="31">
        <v>46258</v>
      </c>
      <c r="J103" s="34">
        <v>0</v>
      </c>
      <c r="K103" s="21">
        <f t="shared" si="1"/>
        <v>566741.44752000005</v>
      </c>
      <c r="L103" s="16" t="s">
        <v>92</v>
      </c>
      <c r="M103" s="11" t="s">
        <v>90</v>
      </c>
      <c r="N103" s="35" t="s">
        <v>92</v>
      </c>
    </row>
    <row r="104" spans="1:14" x14ac:dyDescent="0.3">
      <c r="A104" s="16" t="s">
        <v>23</v>
      </c>
      <c r="B104" s="16" t="s">
        <v>10</v>
      </c>
      <c r="C104" s="11">
        <v>76727</v>
      </c>
      <c r="D104" s="11">
        <v>207982</v>
      </c>
      <c r="E104" s="31">
        <v>46258</v>
      </c>
      <c r="F104" s="16" t="s">
        <v>88</v>
      </c>
      <c r="G104" s="22">
        <v>29979</v>
      </c>
      <c r="H104" s="33">
        <v>18.900832000000001</v>
      </c>
      <c r="I104" s="31">
        <v>46258</v>
      </c>
      <c r="J104" s="34">
        <v>0</v>
      </c>
      <c r="K104" s="21">
        <f t="shared" si="1"/>
        <v>566628.04252800008</v>
      </c>
      <c r="L104" s="16" t="s">
        <v>92</v>
      </c>
      <c r="M104" s="11" t="s">
        <v>90</v>
      </c>
      <c r="N104" s="35" t="s">
        <v>92</v>
      </c>
    </row>
    <row r="105" spans="1:14" x14ac:dyDescent="0.3">
      <c r="A105" s="16" t="s">
        <v>23</v>
      </c>
      <c r="B105" s="16" t="s">
        <v>10</v>
      </c>
      <c r="C105" s="11">
        <v>76880</v>
      </c>
      <c r="D105" s="11">
        <v>208195</v>
      </c>
      <c r="E105" s="31">
        <v>46260</v>
      </c>
      <c r="F105" s="16" t="s">
        <v>88</v>
      </c>
      <c r="G105" s="22">
        <v>29794</v>
      </c>
      <c r="H105" s="33">
        <v>18.900832000000001</v>
      </c>
      <c r="I105" s="31">
        <v>46260</v>
      </c>
      <c r="J105" s="34">
        <v>0</v>
      </c>
      <c r="K105" s="21">
        <f t="shared" si="1"/>
        <v>563131.38860800001</v>
      </c>
      <c r="L105" s="16" t="s">
        <v>92</v>
      </c>
      <c r="M105" s="11" t="s">
        <v>90</v>
      </c>
      <c r="N105" s="35" t="s">
        <v>92</v>
      </c>
    </row>
    <row r="106" spans="1:14" x14ac:dyDescent="0.3">
      <c r="A106" s="16" t="s">
        <v>23</v>
      </c>
      <c r="B106" s="16" t="s">
        <v>10</v>
      </c>
      <c r="C106" s="11">
        <v>77069</v>
      </c>
      <c r="D106" s="11">
        <v>208495</v>
      </c>
      <c r="E106" s="31">
        <v>46263</v>
      </c>
      <c r="F106" s="16" t="s">
        <v>88</v>
      </c>
      <c r="G106" s="22">
        <v>30011</v>
      </c>
      <c r="H106" s="33">
        <v>18.900832000000001</v>
      </c>
      <c r="I106" s="31">
        <v>46263</v>
      </c>
      <c r="J106" s="34">
        <v>0</v>
      </c>
      <c r="K106" s="21">
        <f t="shared" si="1"/>
        <v>567232.86915200006</v>
      </c>
      <c r="L106" s="16" t="s">
        <v>92</v>
      </c>
      <c r="M106" s="11" t="s">
        <v>90</v>
      </c>
      <c r="N106" s="35" t="s">
        <v>92</v>
      </c>
    </row>
    <row r="107" spans="1:14" x14ac:dyDescent="0.3">
      <c r="A107" s="16" t="s">
        <v>23</v>
      </c>
      <c r="B107" s="16" t="s">
        <v>10</v>
      </c>
      <c r="C107" s="11">
        <v>77149</v>
      </c>
      <c r="D107" s="11">
        <v>208692</v>
      </c>
      <c r="E107" s="31">
        <v>46265</v>
      </c>
      <c r="F107" s="16" t="s">
        <v>88</v>
      </c>
      <c r="G107" s="22">
        <v>29889</v>
      </c>
      <c r="H107" s="33">
        <v>18.900832000000001</v>
      </c>
      <c r="I107" s="31">
        <v>46265</v>
      </c>
      <c r="J107" s="34">
        <v>0</v>
      </c>
      <c r="K107" s="21">
        <f t="shared" si="1"/>
        <v>564926.96764799999</v>
      </c>
      <c r="L107" s="16" t="s">
        <v>92</v>
      </c>
      <c r="M107" s="11" t="s">
        <v>90</v>
      </c>
      <c r="N107" s="35" t="s">
        <v>92</v>
      </c>
    </row>
    <row r="108" spans="1:14" x14ac:dyDescent="0.3">
      <c r="A108" s="16" t="s">
        <v>24</v>
      </c>
      <c r="B108" s="16" t="s">
        <v>12</v>
      </c>
      <c r="C108" s="11">
        <v>75572</v>
      </c>
      <c r="D108" s="11">
        <v>206010</v>
      </c>
      <c r="E108" s="31">
        <v>46237</v>
      </c>
      <c r="F108" s="16" t="s">
        <v>88</v>
      </c>
      <c r="G108" s="22">
        <v>29841</v>
      </c>
      <c r="H108" s="33">
        <v>21.734003999999999</v>
      </c>
      <c r="I108" s="31">
        <v>46237</v>
      </c>
      <c r="J108" s="34">
        <v>0</v>
      </c>
      <c r="K108" s="21">
        <f t="shared" si="1"/>
        <v>648564.41336399992</v>
      </c>
      <c r="L108" s="16" t="s">
        <v>92</v>
      </c>
      <c r="M108" s="11" t="s">
        <v>90</v>
      </c>
      <c r="N108" s="35" t="s">
        <v>92</v>
      </c>
    </row>
    <row r="109" spans="1:14" x14ac:dyDescent="0.3">
      <c r="A109" s="16" t="s">
        <v>24</v>
      </c>
      <c r="B109" s="16" t="s">
        <v>12</v>
      </c>
      <c r="C109" s="11">
        <v>75573</v>
      </c>
      <c r="D109" s="11">
        <v>206009</v>
      </c>
      <c r="E109" s="31">
        <v>46237</v>
      </c>
      <c r="F109" s="16" t="s">
        <v>88</v>
      </c>
      <c r="G109" s="22">
        <v>29852</v>
      </c>
      <c r="H109" s="33">
        <v>21.734003999999999</v>
      </c>
      <c r="I109" s="31">
        <v>46237</v>
      </c>
      <c r="J109" s="34">
        <v>0</v>
      </c>
      <c r="K109" s="21">
        <f t="shared" si="1"/>
        <v>648803.48740799993</v>
      </c>
      <c r="L109" s="16" t="s">
        <v>92</v>
      </c>
      <c r="M109" s="11" t="s">
        <v>90</v>
      </c>
      <c r="N109" s="35" t="s">
        <v>92</v>
      </c>
    </row>
    <row r="110" spans="1:14" x14ac:dyDescent="0.3">
      <c r="A110" s="16" t="s">
        <v>24</v>
      </c>
      <c r="B110" s="16" t="s">
        <v>12</v>
      </c>
      <c r="C110" s="11">
        <v>75659</v>
      </c>
      <c r="D110" s="11">
        <v>206152</v>
      </c>
      <c r="E110" s="31">
        <v>46238</v>
      </c>
      <c r="F110" s="16" t="s">
        <v>88</v>
      </c>
      <c r="G110" s="22">
        <v>33370</v>
      </c>
      <c r="H110" s="33">
        <v>21.436146000000001</v>
      </c>
      <c r="I110" s="31">
        <v>46238</v>
      </c>
      <c r="J110" s="34">
        <v>0</v>
      </c>
      <c r="K110" s="21">
        <f t="shared" si="1"/>
        <v>715324.19202000007</v>
      </c>
      <c r="L110" s="16" t="s">
        <v>92</v>
      </c>
      <c r="M110" s="11" t="s">
        <v>90</v>
      </c>
      <c r="N110" s="35" t="s">
        <v>92</v>
      </c>
    </row>
    <row r="111" spans="1:14" x14ac:dyDescent="0.3">
      <c r="A111" s="16" t="s">
        <v>24</v>
      </c>
      <c r="B111" s="16" t="s">
        <v>12</v>
      </c>
      <c r="C111" s="11">
        <v>75775</v>
      </c>
      <c r="D111" s="11">
        <v>206398</v>
      </c>
      <c r="E111" s="31">
        <v>46240</v>
      </c>
      <c r="F111" s="16" t="s">
        <v>88</v>
      </c>
      <c r="G111" s="22">
        <v>29883</v>
      </c>
      <c r="H111" s="33">
        <v>21.306844999999999</v>
      </c>
      <c r="I111" s="31">
        <v>46240</v>
      </c>
      <c r="J111" s="34">
        <v>0</v>
      </c>
      <c r="K111" s="21">
        <f t="shared" si="1"/>
        <v>636712.449135</v>
      </c>
      <c r="L111" s="16" t="s">
        <v>92</v>
      </c>
      <c r="M111" s="11" t="s">
        <v>90</v>
      </c>
      <c r="N111" s="35" t="s">
        <v>92</v>
      </c>
    </row>
    <row r="112" spans="1:14" x14ac:dyDescent="0.3">
      <c r="A112" s="16" t="s">
        <v>24</v>
      </c>
      <c r="B112" s="16" t="s">
        <v>12</v>
      </c>
      <c r="C112" s="11">
        <v>75784</v>
      </c>
      <c r="D112" s="11">
        <v>206401</v>
      </c>
      <c r="E112" s="31">
        <v>46240</v>
      </c>
      <c r="F112" s="16" t="s">
        <v>88</v>
      </c>
      <c r="G112" s="22">
        <v>33361</v>
      </c>
      <c r="H112" s="33">
        <v>21.306844999999999</v>
      </c>
      <c r="I112" s="31">
        <v>46240</v>
      </c>
      <c r="J112" s="34">
        <v>0</v>
      </c>
      <c r="K112" s="21">
        <f t="shared" si="1"/>
        <v>710817.65604499995</v>
      </c>
      <c r="L112" s="16" t="s">
        <v>92</v>
      </c>
      <c r="M112" s="11" t="s">
        <v>90</v>
      </c>
      <c r="N112" s="35" t="s">
        <v>92</v>
      </c>
    </row>
    <row r="113" spans="1:14" x14ac:dyDescent="0.3">
      <c r="A113" s="16" t="s">
        <v>24</v>
      </c>
      <c r="B113" s="16" t="s">
        <v>12</v>
      </c>
      <c r="C113" s="11">
        <v>75785</v>
      </c>
      <c r="D113" s="11">
        <v>206400</v>
      </c>
      <c r="E113" s="31">
        <v>46240</v>
      </c>
      <c r="F113" s="16" t="s">
        <v>88</v>
      </c>
      <c r="G113" s="22">
        <v>33363</v>
      </c>
      <c r="H113" s="33">
        <v>21.306844999999999</v>
      </c>
      <c r="I113" s="31">
        <v>46240</v>
      </c>
      <c r="J113" s="34">
        <v>0</v>
      </c>
      <c r="K113" s="21">
        <f t="shared" si="1"/>
        <v>710860.26973499998</v>
      </c>
      <c r="L113" s="16" t="s">
        <v>92</v>
      </c>
      <c r="M113" s="11" t="s">
        <v>90</v>
      </c>
      <c r="N113" s="35" t="s">
        <v>92</v>
      </c>
    </row>
    <row r="114" spans="1:14" x14ac:dyDescent="0.3">
      <c r="A114" s="16" t="s">
        <v>24</v>
      </c>
      <c r="B114" s="16" t="s">
        <v>12</v>
      </c>
      <c r="C114" s="11">
        <v>75848</v>
      </c>
      <c r="D114" s="11">
        <v>206543</v>
      </c>
      <c r="E114" s="31">
        <v>46241</v>
      </c>
      <c r="F114" s="16" t="s">
        <v>88</v>
      </c>
      <c r="G114" s="22">
        <v>33356</v>
      </c>
      <c r="H114" s="33">
        <v>21.306844999999999</v>
      </c>
      <c r="I114" s="31">
        <v>46241</v>
      </c>
      <c r="J114" s="34">
        <v>0</v>
      </c>
      <c r="K114" s="21">
        <f t="shared" si="1"/>
        <v>710711.12182</v>
      </c>
      <c r="L114" s="16" t="s">
        <v>92</v>
      </c>
      <c r="M114" s="11" t="s">
        <v>90</v>
      </c>
      <c r="N114" s="35" t="s">
        <v>92</v>
      </c>
    </row>
    <row r="115" spans="1:14" x14ac:dyDescent="0.3">
      <c r="A115" s="16" t="s">
        <v>24</v>
      </c>
      <c r="B115" s="16" t="s">
        <v>12</v>
      </c>
      <c r="C115" s="11">
        <v>75994</v>
      </c>
      <c r="D115" s="11">
        <v>206872</v>
      </c>
      <c r="E115" s="31">
        <v>46244</v>
      </c>
      <c r="F115" s="16" t="s">
        <v>88</v>
      </c>
      <c r="G115" s="22">
        <v>33427</v>
      </c>
      <c r="H115" s="33">
        <v>21.565466000000001</v>
      </c>
      <c r="I115" s="31">
        <v>46244</v>
      </c>
      <c r="J115" s="34">
        <v>0</v>
      </c>
      <c r="K115" s="21">
        <f t="shared" si="1"/>
        <v>720868.83198200003</v>
      </c>
      <c r="L115" s="16" t="s">
        <v>92</v>
      </c>
      <c r="M115" s="11" t="s">
        <v>90</v>
      </c>
      <c r="N115" s="35" t="s">
        <v>92</v>
      </c>
    </row>
    <row r="116" spans="1:14" x14ac:dyDescent="0.3">
      <c r="A116" s="16" t="s">
        <v>24</v>
      </c>
      <c r="B116" s="16" t="s">
        <v>12</v>
      </c>
      <c r="C116" s="11">
        <v>75999</v>
      </c>
      <c r="D116" s="11">
        <v>206871</v>
      </c>
      <c r="E116" s="31">
        <v>46244</v>
      </c>
      <c r="F116" s="16" t="s">
        <v>88</v>
      </c>
      <c r="G116" s="22">
        <v>33477</v>
      </c>
      <c r="H116" s="33">
        <v>21.565466000000001</v>
      </c>
      <c r="I116" s="31">
        <v>46244</v>
      </c>
      <c r="J116" s="34">
        <v>0</v>
      </c>
      <c r="K116" s="21">
        <f t="shared" si="1"/>
        <v>721947.10528200003</v>
      </c>
      <c r="L116" s="16" t="s">
        <v>92</v>
      </c>
      <c r="M116" s="11" t="s">
        <v>90</v>
      </c>
      <c r="N116" s="35" t="s">
        <v>92</v>
      </c>
    </row>
    <row r="117" spans="1:14" x14ac:dyDescent="0.3">
      <c r="A117" s="16" t="s">
        <v>24</v>
      </c>
      <c r="B117" s="16" t="s">
        <v>12</v>
      </c>
      <c r="C117" s="11">
        <v>76067</v>
      </c>
      <c r="D117" s="11">
        <v>206964</v>
      </c>
      <c r="E117" s="31">
        <v>46245</v>
      </c>
      <c r="F117" s="16" t="s">
        <v>88</v>
      </c>
      <c r="G117" s="22">
        <v>33336</v>
      </c>
      <c r="H117" s="33">
        <v>22.039604000000001</v>
      </c>
      <c r="I117" s="31">
        <v>46245</v>
      </c>
      <c r="J117" s="34">
        <v>0</v>
      </c>
      <c r="K117" s="21">
        <f t="shared" si="1"/>
        <v>734712.23894399998</v>
      </c>
      <c r="L117" s="16" t="s">
        <v>92</v>
      </c>
      <c r="M117" s="11" t="s">
        <v>90</v>
      </c>
      <c r="N117" s="35" t="s">
        <v>92</v>
      </c>
    </row>
    <row r="118" spans="1:14" x14ac:dyDescent="0.3">
      <c r="A118" s="16" t="s">
        <v>24</v>
      </c>
      <c r="B118" s="16" t="s">
        <v>12</v>
      </c>
      <c r="C118" s="11">
        <v>76109</v>
      </c>
      <c r="D118" s="11">
        <v>207041</v>
      </c>
      <c r="E118" s="31">
        <v>46246</v>
      </c>
      <c r="F118" s="16" t="s">
        <v>88</v>
      </c>
      <c r="G118" s="22">
        <v>33409</v>
      </c>
      <c r="H118" s="33">
        <v>22.125810999999999</v>
      </c>
      <c r="I118" s="31">
        <v>46246</v>
      </c>
      <c r="J118" s="34">
        <v>0</v>
      </c>
      <c r="K118" s="21">
        <f t="shared" si="1"/>
        <v>739201.21969900001</v>
      </c>
      <c r="L118" s="16" t="s">
        <v>92</v>
      </c>
      <c r="M118" s="11" t="s">
        <v>90</v>
      </c>
      <c r="N118" s="35" t="s">
        <v>92</v>
      </c>
    </row>
    <row r="119" spans="1:14" x14ac:dyDescent="0.3">
      <c r="A119" s="16" t="s">
        <v>24</v>
      </c>
      <c r="B119" s="16" t="s">
        <v>12</v>
      </c>
      <c r="C119" s="11">
        <v>76172</v>
      </c>
      <c r="D119" s="11">
        <v>207131</v>
      </c>
      <c r="E119" s="31">
        <v>46247</v>
      </c>
      <c r="F119" s="16" t="s">
        <v>88</v>
      </c>
      <c r="G119" s="22">
        <v>33393</v>
      </c>
      <c r="H119" s="33">
        <v>22.125810999999999</v>
      </c>
      <c r="I119" s="31">
        <v>46247</v>
      </c>
      <c r="J119" s="34">
        <v>0</v>
      </c>
      <c r="K119" s="21">
        <f t="shared" si="1"/>
        <v>738847.20672299992</v>
      </c>
      <c r="L119" s="16" t="s">
        <v>92</v>
      </c>
      <c r="M119" s="11" t="s">
        <v>90</v>
      </c>
      <c r="N119" s="35" t="s">
        <v>92</v>
      </c>
    </row>
    <row r="120" spans="1:14" x14ac:dyDescent="0.3">
      <c r="A120" s="16" t="s">
        <v>24</v>
      </c>
      <c r="B120" s="16" t="s">
        <v>12</v>
      </c>
      <c r="C120" s="11">
        <v>76224</v>
      </c>
      <c r="D120" s="11">
        <v>207211</v>
      </c>
      <c r="E120" s="31">
        <v>46248</v>
      </c>
      <c r="F120" s="16" t="s">
        <v>88</v>
      </c>
      <c r="G120" s="22">
        <v>33437</v>
      </c>
      <c r="H120" s="33">
        <v>22.125810999999999</v>
      </c>
      <c r="I120" s="31">
        <v>46248</v>
      </c>
      <c r="J120" s="34">
        <v>0</v>
      </c>
      <c r="K120" s="21">
        <f t="shared" si="1"/>
        <v>739820.74240699993</v>
      </c>
      <c r="L120" s="16" t="s">
        <v>92</v>
      </c>
      <c r="M120" s="11" t="s">
        <v>90</v>
      </c>
      <c r="N120" s="35" t="s">
        <v>92</v>
      </c>
    </row>
    <row r="121" spans="1:14" x14ac:dyDescent="0.3">
      <c r="A121" s="16" t="s">
        <v>24</v>
      </c>
      <c r="B121" s="16" t="s">
        <v>12</v>
      </c>
      <c r="C121" s="11">
        <v>76323</v>
      </c>
      <c r="D121" s="11">
        <v>207398</v>
      </c>
      <c r="E121" s="31">
        <v>46251</v>
      </c>
      <c r="F121" s="16" t="s">
        <v>88</v>
      </c>
      <c r="G121" s="22">
        <v>33564</v>
      </c>
      <c r="H121" s="33">
        <v>22.020963999999999</v>
      </c>
      <c r="I121" s="31">
        <v>46251</v>
      </c>
      <c r="J121" s="34">
        <v>0</v>
      </c>
      <c r="K121" s="21">
        <f t="shared" si="1"/>
        <v>739111.63569599995</v>
      </c>
      <c r="L121" s="16" t="s">
        <v>92</v>
      </c>
      <c r="M121" s="11" t="s">
        <v>90</v>
      </c>
      <c r="N121" s="35" t="s">
        <v>92</v>
      </c>
    </row>
    <row r="122" spans="1:14" x14ac:dyDescent="0.3">
      <c r="A122" s="16" t="s">
        <v>24</v>
      </c>
      <c r="B122" s="16" t="s">
        <v>12</v>
      </c>
      <c r="C122" s="11">
        <v>76417</v>
      </c>
      <c r="D122" s="11">
        <v>207522</v>
      </c>
      <c r="E122" s="31">
        <v>46252</v>
      </c>
      <c r="F122" s="16" t="s">
        <v>88</v>
      </c>
      <c r="G122" s="22">
        <v>33338</v>
      </c>
      <c r="H122" s="33">
        <v>22.124010999999999</v>
      </c>
      <c r="I122" s="31">
        <v>46252</v>
      </c>
      <c r="J122" s="34">
        <v>0</v>
      </c>
      <c r="K122" s="21">
        <f t="shared" si="1"/>
        <v>737570.27871799993</v>
      </c>
      <c r="L122" s="16" t="s">
        <v>92</v>
      </c>
      <c r="M122" s="11" t="s">
        <v>90</v>
      </c>
      <c r="N122" s="35" t="s">
        <v>92</v>
      </c>
    </row>
    <row r="123" spans="1:14" x14ac:dyDescent="0.3">
      <c r="A123" s="16" t="s">
        <v>24</v>
      </c>
      <c r="B123" s="16" t="s">
        <v>12</v>
      </c>
      <c r="C123" s="11">
        <v>76418</v>
      </c>
      <c r="D123" s="11">
        <v>207523</v>
      </c>
      <c r="E123" s="31">
        <v>46252</v>
      </c>
      <c r="F123" s="16" t="s">
        <v>88</v>
      </c>
      <c r="G123" s="22">
        <v>33345</v>
      </c>
      <c r="H123" s="33">
        <v>22.124010999999999</v>
      </c>
      <c r="I123" s="31">
        <v>46252</v>
      </c>
      <c r="J123" s="34">
        <v>0</v>
      </c>
      <c r="K123" s="21">
        <f t="shared" si="1"/>
        <v>737725.14679499995</v>
      </c>
      <c r="L123" s="16" t="s">
        <v>92</v>
      </c>
      <c r="M123" s="11" t="s">
        <v>90</v>
      </c>
      <c r="N123" s="35" t="s">
        <v>92</v>
      </c>
    </row>
    <row r="124" spans="1:14" x14ac:dyDescent="0.3">
      <c r="A124" s="16" t="s">
        <v>24</v>
      </c>
      <c r="B124" s="16" t="s">
        <v>12</v>
      </c>
      <c r="C124" s="11">
        <v>76430</v>
      </c>
      <c r="D124" s="11">
        <v>207598</v>
      </c>
      <c r="E124" s="31">
        <v>46253</v>
      </c>
      <c r="F124" s="16" t="s">
        <v>88</v>
      </c>
      <c r="G124" s="22">
        <v>33364</v>
      </c>
      <c r="H124" s="33">
        <v>22.124413000000001</v>
      </c>
      <c r="I124" s="31">
        <v>46253</v>
      </c>
      <c r="J124" s="34">
        <v>0</v>
      </c>
      <c r="K124" s="21">
        <f t="shared" si="1"/>
        <v>738158.915332</v>
      </c>
      <c r="L124" s="16" t="s">
        <v>92</v>
      </c>
      <c r="M124" s="11" t="s">
        <v>90</v>
      </c>
      <c r="N124" s="35" t="s">
        <v>92</v>
      </c>
    </row>
    <row r="125" spans="1:14" x14ac:dyDescent="0.3">
      <c r="A125" s="16" t="s">
        <v>24</v>
      </c>
      <c r="B125" s="16" t="s">
        <v>12</v>
      </c>
      <c r="C125" s="11">
        <v>76560</v>
      </c>
      <c r="D125" s="11">
        <v>207696</v>
      </c>
      <c r="E125" s="31">
        <v>46254</v>
      </c>
      <c r="F125" s="16" t="s">
        <v>88</v>
      </c>
      <c r="G125" s="22">
        <v>29957</v>
      </c>
      <c r="H125" s="33">
        <v>22.124413000000001</v>
      </c>
      <c r="I125" s="31">
        <v>46254</v>
      </c>
      <c r="J125" s="34">
        <v>0</v>
      </c>
      <c r="K125" s="21">
        <f t="shared" si="1"/>
        <v>662781.04024100001</v>
      </c>
      <c r="L125" s="16" t="s">
        <v>92</v>
      </c>
      <c r="M125" s="11" t="s">
        <v>90</v>
      </c>
      <c r="N125" s="35" t="s">
        <v>92</v>
      </c>
    </row>
    <row r="126" spans="1:14" x14ac:dyDescent="0.3">
      <c r="A126" s="16" t="s">
        <v>24</v>
      </c>
      <c r="B126" s="16" t="s">
        <v>12</v>
      </c>
      <c r="C126" s="11">
        <v>76606</v>
      </c>
      <c r="D126" s="11">
        <v>207777</v>
      </c>
      <c r="E126" s="31">
        <v>46255</v>
      </c>
      <c r="F126" s="16" t="s">
        <v>88</v>
      </c>
      <c r="G126" s="22">
        <v>33391</v>
      </c>
      <c r="H126" s="33">
        <v>22.124413000000001</v>
      </c>
      <c r="I126" s="31">
        <v>46255</v>
      </c>
      <c r="J126" s="34">
        <v>0</v>
      </c>
      <c r="K126" s="21">
        <f t="shared" si="1"/>
        <v>738756.27448300004</v>
      </c>
      <c r="L126" s="16" t="s">
        <v>92</v>
      </c>
      <c r="M126" s="11" t="s">
        <v>90</v>
      </c>
      <c r="N126" s="35" t="s">
        <v>92</v>
      </c>
    </row>
    <row r="127" spans="1:14" x14ac:dyDescent="0.3">
      <c r="A127" s="16" t="s">
        <v>24</v>
      </c>
      <c r="B127" s="16" t="s">
        <v>12</v>
      </c>
      <c r="C127" s="11">
        <v>76683</v>
      </c>
      <c r="D127" s="11">
        <v>207863</v>
      </c>
      <c r="E127" s="31">
        <v>46256</v>
      </c>
      <c r="F127" s="16" t="s">
        <v>88</v>
      </c>
      <c r="G127" s="22">
        <v>33363</v>
      </c>
      <c r="H127" s="33">
        <v>22.038205999999999</v>
      </c>
      <c r="I127" s="31">
        <v>46256</v>
      </c>
      <c r="J127" s="34">
        <v>0</v>
      </c>
      <c r="K127" s="21">
        <f t="shared" si="1"/>
        <v>735260.66677799996</v>
      </c>
      <c r="L127" s="16" t="s">
        <v>92</v>
      </c>
      <c r="M127" s="11" t="s">
        <v>90</v>
      </c>
      <c r="N127" s="35" t="s">
        <v>92</v>
      </c>
    </row>
    <row r="128" spans="1:14" x14ac:dyDescent="0.3">
      <c r="A128" s="16" t="s">
        <v>24</v>
      </c>
      <c r="B128" s="16" t="s">
        <v>12</v>
      </c>
      <c r="C128" s="11">
        <v>76756</v>
      </c>
      <c r="D128" s="11">
        <v>207987</v>
      </c>
      <c r="E128" s="31">
        <v>46258</v>
      </c>
      <c r="F128" s="16" t="s">
        <v>88</v>
      </c>
      <c r="G128" s="22">
        <v>33538</v>
      </c>
      <c r="H128" s="33">
        <v>22.038205999999999</v>
      </c>
      <c r="I128" s="31">
        <v>46258</v>
      </c>
      <c r="J128" s="34">
        <v>0</v>
      </c>
      <c r="K128" s="21">
        <f t="shared" si="1"/>
        <v>739117.35282799997</v>
      </c>
      <c r="L128" s="16" t="s">
        <v>92</v>
      </c>
      <c r="M128" s="11" t="s">
        <v>90</v>
      </c>
      <c r="N128" s="35" t="s">
        <v>92</v>
      </c>
    </row>
    <row r="129" spans="1:14" x14ac:dyDescent="0.3">
      <c r="A129" s="16" t="s">
        <v>24</v>
      </c>
      <c r="B129" s="16" t="s">
        <v>12</v>
      </c>
      <c r="C129" s="11">
        <v>76827</v>
      </c>
      <c r="D129" s="11">
        <v>208093</v>
      </c>
      <c r="E129" s="31">
        <v>46259</v>
      </c>
      <c r="F129" s="16" t="s">
        <v>88</v>
      </c>
      <c r="G129" s="22">
        <v>33431</v>
      </c>
      <c r="H129" s="33">
        <v>21.688734</v>
      </c>
      <c r="I129" s="31">
        <v>46259</v>
      </c>
      <c r="J129" s="34">
        <v>0</v>
      </c>
      <c r="K129" s="21">
        <f t="shared" si="1"/>
        <v>725076.06635400001</v>
      </c>
      <c r="L129" s="16" t="s">
        <v>92</v>
      </c>
      <c r="M129" s="11" t="s">
        <v>90</v>
      </c>
      <c r="N129" s="35" t="s">
        <v>92</v>
      </c>
    </row>
    <row r="130" spans="1:14" x14ac:dyDescent="0.3">
      <c r="A130" s="16" t="s">
        <v>24</v>
      </c>
      <c r="B130" s="16" t="s">
        <v>12</v>
      </c>
      <c r="C130" s="11">
        <v>76879</v>
      </c>
      <c r="D130" s="11">
        <v>208185</v>
      </c>
      <c r="E130" s="31">
        <v>46260</v>
      </c>
      <c r="F130" s="16" t="s">
        <v>88</v>
      </c>
      <c r="G130" s="22">
        <v>33364</v>
      </c>
      <c r="H130" s="33">
        <v>21.688734</v>
      </c>
      <c r="I130" s="31">
        <v>46260</v>
      </c>
      <c r="J130" s="34">
        <v>0</v>
      </c>
      <c r="K130" s="21">
        <f t="shared" si="1"/>
        <v>723622.92117600003</v>
      </c>
      <c r="L130" s="16" t="s">
        <v>92</v>
      </c>
      <c r="M130" s="11" t="s">
        <v>90</v>
      </c>
      <c r="N130" s="35" t="s">
        <v>92</v>
      </c>
    </row>
    <row r="131" spans="1:14" x14ac:dyDescent="0.3">
      <c r="A131" s="16" t="s">
        <v>24</v>
      </c>
      <c r="B131" s="16" t="s">
        <v>12</v>
      </c>
      <c r="C131" s="11">
        <v>77011</v>
      </c>
      <c r="D131" s="11">
        <v>208399</v>
      </c>
      <c r="E131" s="31">
        <v>46262</v>
      </c>
      <c r="F131" s="16" t="s">
        <v>88</v>
      </c>
      <c r="G131" s="22">
        <v>29928</v>
      </c>
      <c r="H131" s="33">
        <v>21.688734</v>
      </c>
      <c r="I131" s="31">
        <v>46262</v>
      </c>
      <c r="J131" s="34">
        <v>0</v>
      </c>
      <c r="K131" s="21">
        <f t="shared" si="1"/>
        <v>649100.43115199998</v>
      </c>
      <c r="L131" s="16" t="s">
        <v>92</v>
      </c>
      <c r="M131" s="11" t="s">
        <v>90</v>
      </c>
      <c r="N131" s="35" t="s">
        <v>92</v>
      </c>
    </row>
    <row r="132" spans="1:14" x14ac:dyDescent="0.3">
      <c r="A132" s="16" t="s">
        <v>24</v>
      </c>
      <c r="B132" s="16" t="s">
        <v>12</v>
      </c>
      <c r="C132" s="11">
        <v>77012</v>
      </c>
      <c r="D132" s="11">
        <v>208398</v>
      </c>
      <c r="E132" s="31">
        <v>46262</v>
      </c>
      <c r="F132" s="16" t="s">
        <v>88</v>
      </c>
      <c r="G132" s="22">
        <v>29911</v>
      </c>
      <c r="H132" s="33">
        <v>21.688734</v>
      </c>
      <c r="I132" s="31">
        <v>46262</v>
      </c>
      <c r="J132" s="34">
        <v>0</v>
      </c>
      <c r="K132" s="21">
        <f t="shared" si="1"/>
        <v>648731.72267399996</v>
      </c>
      <c r="L132" s="16" t="s">
        <v>92</v>
      </c>
      <c r="M132" s="11" t="s">
        <v>90</v>
      </c>
      <c r="N132" s="35" t="s">
        <v>92</v>
      </c>
    </row>
    <row r="133" spans="1:14" x14ac:dyDescent="0.3">
      <c r="A133" s="16" t="s">
        <v>24</v>
      </c>
      <c r="B133" s="16" t="s">
        <v>12</v>
      </c>
      <c r="C133" s="11">
        <v>77064</v>
      </c>
      <c r="D133" s="11">
        <v>208426</v>
      </c>
      <c r="E133" s="31">
        <v>46262</v>
      </c>
      <c r="F133" s="16" t="s">
        <v>88</v>
      </c>
      <c r="G133" s="22">
        <v>33432</v>
      </c>
      <c r="H133" s="33">
        <v>21.688734</v>
      </c>
      <c r="I133" s="31">
        <v>46262</v>
      </c>
      <c r="J133" s="34">
        <v>0</v>
      </c>
      <c r="K133" s="21">
        <f t="shared" ref="K133:K196" si="2">G133*H133</f>
        <v>725097.75508799998</v>
      </c>
      <c r="L133" s="16" t="s">
        <v>92</v>
      </c>
      <c r="M133" s="11" t="s">
        <v>90</v>
      </c>
      <c r="N133" s="35" t="s">
        <v>92</v>
      </c>
    </row>
    <row r="134" spans="1:14" x14ac:dyDescent="0.3">
      <c r="A134" s="16" t="s">
        <v>24</v>
      </c>
      <c r="B134" s="16" t="s">
        <v>12</v>
      </c>
      <c r="C134" s="11">
        <v>77071</v>
      </c>
      <c r="D134" s="11">
        <v>208519</v>
      </c>
      <c r="E134" s="31">
        <v>46263</v>
      </c>
      <c r="F134" s="16" t="s">
        <v>88</v>
      </c>
      <c r="G134" s="22">
        <v>29934</v>
      </c>
      <c r="H134" s="33">
        <v>21.688734</v>
      </c>
      <c r="I134" s="31">
        <v>46263</v>
      </c>
      <c r="J134" s="34">
        <v>0</v>
      </c>
      <c r="K134" s="21">
        <f t="shared" si="2"/>
        <v>649230.56355600001</v>
      </c>
      <c r="L134" s="16" t="s">
        <v>92</v>
      </c>
      <c r="M134" s="11" t="s">
        <v>90</v>
      </c>
      <c r="N134" s="35" t="s">
        <v>92</v>
      </c>
    </row>
    <row r="135" spans="1:14" x14ac:dyDescent="0.3">
      <c r="A135" s="16" t="s">
        <v>24</v>
      </c>
      <c r="B135" s="16" t="s">
        <v>11</v>
      </c>
      <c r="C135" s="11">
        <v>75494</v>
      </c>
      <c r="D135" s="11">
        <v>205842</v>
      </c>
      <c r="E135" s="31">
        <v>46235</v>
      </c>
      <c r="F135" s="16" t="s">
        <v>88</v>
      </c>
      <c r="G135" s="22">
        <v>29924</v>
      </c>
      <c r="H135" s="33">
        <v>22.629985000000001</v>
      </c>
      <c r="I135" s="31">
        <v>46235</v>
      </c>
      <c r="J135" s="34">
        <v>0</v>
      </c>
      <c r="K135" s="21">
        <f t="shared" si="2"/>
        <v>677179.67113999999</v>
      </c>
      <c r="L135" s="16" t="s">
        <v>92</v>
      </c>
      <c r="M135" s="11" t="s">
        <v>90</v>
      </c>
      <c r="N135" s="35" t="s">
        <v>92</v>
      </c>
    </row>
    <row r="136" spans="1:14" x14ac:dyDescent="0.3">
      <c r="A136" s="16" t="s">
        <v>24</v>
      </c>
      <c r="B136" s="16" t="s">
        <v>11</v>
      </c>
      <c r="C136" s="11">
        <v>75727</v>
      </c>
      <c r="D136" s="11">
        <v>206285</v>
      </c>
      <c r="E136" s="31">
        <v>46239</v>
      </c>
      <c r="F136" s="16" t="s">
        <v>88</v>
      </c>
      <c r="G136" s="22">
        <v>33343</v>
      </c>
      <c r="H136" s="33">
        <v>22.095511999999999</v>
      </c>
      <c r="I136" s="31">
        <v>46239</v>
      </c>
      <c r="J136" s="34">
        <v>0</v>
      </c>
      <c r="K136" s="21">
        <f t="shared" si="2"/>
        <v>736730.65661599999</v>
      </c>
      <c r="L136" s="16" t="s">
        <v>92</v>
      </c>
      <c r="M136" s="11" t="s">
        <v>90</v>
      </c>
      <c r="N136" s="35" t="s">
        <v>92</v>
      </c>
    </row>
    <row r="137" spans="1:14" x14ac:dyDescent="0.3">
      <c r="A137" s="16" t="s">
        <v>24</v>
      </c>
      <c r="B137" s="16" t="s">
        <v>11</v>
      </c>
      <c r="C137" s="11">
        <v>75862</v>
      </c>
      <c r="D137" s="11">
        <v>206620</v>
      </c>
      <c r="E137" s="31">
        <v>46242</v>
      </c>
      <c r="F137" s="16" t="s">
        <v>88</v>
      </c>
      <c r="G137" s="22">
        <v>33815</v>
      </c>
      <c r="H137" s="33">
        <v>22.437439000000001</v>
      </c>
      <c r="I137" s="31">
        <v>46242</v>
      </c>
      <c r="J137" s="34">
        <v>0</v>
      </c>
      <c r="K137" s="21">
        <f t="shared" si="2"/>
        <v>758721.99978499999</v>
      </c>
      <c r="L137" s="16" t="s">
        <v>92</v>
      </c>
      <c r="M137" s="11" t="s">
        <v>90</v>
      </c>
      <c r="N137" s="35" t="s">
        <v>92</v>
      </c>
    </row>
    <row r="138" spans="1:14" x14ac:dyDescent="0.3">
      <c r="A138" s="16" t="s">
        <v>24</v>
      </c>
      <c r="B138" s="16" t="s">
        <v>11</v>
      </c>
      <c r="C138" s="11">
        <v>76108</v>
      </c>
      <c r="D138" s="11">
        <v>207042</v>
      </c>
      <c r="E138" s="31">
        <v>46246</v>
      </c>
      <c r="F138" s="16" t="s">
        <v>88</v>
      </c>
      <c r="G138" s="22">
        <v>33466</v>
      </c>
      <c r="H138" s="33">
        <v>22.437439000000001</v>
      </c>
      <c r="I138" s="31">
        <v>46246</v>
      </c>
      <c r="J138" s="34">
        <v>0</v>
      </c>
      <c r="K138" s="21">
        <f t="shared" si="2"/>
        <v>750891.33357400005</v>
      </c>
      <c r="L138" s="16" t="s">
        <v>92</v>
      </c>
      <c r="M138" s="11" t="s">
        <v>90</v>
      </c>
      <c r="N138" s="35" t="s">
        <v>92</v>
      </c>
    </row>
    <row r="139" spans="1:14" x14ac:dyDescent="0.3">
      <c r="A139" s="16" t="s">
        <v>24</v>
      </c>
      <c r="B139" s="16" t="s">
        <v>11</v>
      </c>
      <c r="C139" s="11">
        <v>76274</v>
      </c>
      <c r="D139" s="11">
        <v>207303</v>
      </c>
      <c r="E139" s="31">
        <v>46249</v>
      </c>
      <c r="F139" s="16" t="s">
        <v>88</v>
      </c>
      <c r="G139" s="22">
        <v>33541</v>
      </c>
      <c r="H139" s="33">
        <v>22.273645999999999</v>
      </c>
      <c r="I139" s="31">
        <v>46249</v>
      </c>
      <c r="J139" s="34">
        <v>0</v>
      </c>
      <c r="K139" s="21">
        <f t="shared" si="2"/>
        <v>747080.36048599996</v>
      </c>
      <c r="L139" s="16" t="s">
        <v>92</v>
      </c>
      <c r="M139" s="11" t="s">
        <v>90</v>
      </c>
      <c r="N139" s="35" t="s">
        <v>92</v>
      </c>
    </row>
    <row r="140" spans="1:14" x14ac:dyDescent="0.3">
      <c r="A140" s="16" t="s">
        <v>24</v>
      </c>
      <c r="B140" s="16" t="s">
        <v>11</v>
      </c>
      <c r="C140" s="11">
        <v>76429</v>
      </c>
      <c r="D140" s="11">
        <v>207599</v>
      </c>
      <c r="E140" s="31">
        <v>46253</v>
      </c>
      <c r="F140" s="16" t="s">
        <v>88</v>
      </c>
      <c r="G140" s="22">
        <v>33463</v>
      </c>
      <c r="H140" s="33">
        <v>22.575369999999999</v>
      </c>
      <c r="I140" s="31">
        <v>46253</v>
      </c>
      <c r="J140" s="34">
        <v>0</v>
      </c>
      <c r="K140" s="21">
        <f t="shared" si="2"/>
        <v>755439.60630999994</v>
      </c>
      <c r="L140" s="16" t="s">
        <v>92</v>
      </c>
      <c r="M140" s="11" t="s">
        <v>90</v>
      </c>
      <c r="N140" s="35" t="s">
        <v>92</v>
      </c>
    </row>
    <row r="141" spans="1:14" x14ac:dyDescent="0.3">
      <c r="A141" s="16" t="s">
        <v>24</v>
      </c>
      <c r="B141" s="16" t="s">
        <v>11</v>
      </c>
      <c r="C141" s="11">
        <v>76682</v>
      </c>
      <c r="D141" s="11">
        <v>207864</v>
      </c>
      <c r="E141" s="31">
        <v>46256</v>
      </c>
      <c r="F141" s="16" t="s">
        <v>88</v>
      </c>
      <c r="G141" s="22">
        <v>33335</v>
      </c>
      <c r="H141" s="33">
        <v>22.662655999999998</v>
      </c>
      <c r="I141" s="31">
        <v>46256</v>
      </c>
      <c r="J141" s="34">
        <v>0</v>
      </c>
      <c r="K141" s="21">
        <f t="shared" si="2"/>
        <v>755459.63775999995</v>
      </c>
      <c r="L141" s="16" t="s">
        <v>92</v>
      </c>
      <c r="M141" s="11" t="s">
        <v>90</v>
      </c>
      <c r="N141" s="35" t="s">
        <v>92</v>
      </c>
    </row>
    <row r="142" spans="1:14" x14ac:dyDescent="0.3">
      <c r="A142" s="16" t="s">
        <v>24</v>
      </c>
      <c r="B142" s="16" t="s">
        <v>11</v>
      </c>
      <c r="C142" s="11">
        <v>76950</v>
      </c>
      <c r="D142" s="11">
        <v>208294</v>
      </c>
      <c r="E142" s="31">
        <v>46261</v>
      </c>
      <c r="F142" s="16" t="s">
        <v>88</v>
      </c>
      <c r="G142" s="22">
        <v>33466</v>
      </c>
      <c r="H142" s="33">
        <v>22.662655999999998</v>
      </c>
      <c r="I142" s="31">
        <v>46261</v>
      </c>
      <c r="J142" s="34">
        <v>0</v>
      </c>
      <c r="K142" s="21">
        <f t="shared" si="2"/>
        <v>758428.44569599989</v>
      </c>
      <c r="L142" s="16" t="s">
        <v>92</v>
      </c>
      <c r="M142" s="11" t="s">
        <v>90</v>
      </c>
      <c r="N142" s="35" t="s">
        <v>92</v>
      </c>
    </row>
    <row r="143" spans="1:14" x14ac:dyDescent="0.3">
      <c r="A143" s="16" t="s">
        <v>24</v>
      </c>
      <c r="B143" s="16" t="s">
        <v>11</v>
      </c>
      <c r="C143" s="11">
        <v>77145</v>
      </c>
      <c r="D143" s="11">
        <v>208671</v>
      </c>
      <c r="E143" s="31">
        <v>46265</v>
      </c>
      <c r="F143" s="16" t="s">
        <v>88</v>
      </c>
      <c r="G143" s="22">
        <v>35945</v>
      </c>
      <c r="H143" s="33">
        <v>22.748863</v>
      </c>
      <c r="I143" s="31">
        <v>46265</v>
      </c>
      <c r="J143" s="34">
        <v>0</v>
      </c>
      <c r="K143" s="21">
        <f t="shared" si="2"/>
        <v>817707.880535</v>
      </c>
      <c r="L143" s="16" t="s">
        <v>92</v>
      </c>
      <c r="M143" s="11" t="s">
        <v>90</v>
      </c>
      <c r="N143" s="35" t="s">
        <v>92</v>
      </c>
    </row>
    <row r="144" spans="1:14" x14ac:dyDescent="0.3">
      <c r="A144" s="16" t="s">
        <v>24</v>
      </c>
      <c r="B144" s="16" t="s">
        <v>10</v>
      </c>
      <c r="C144" s="11">
        <v>75495</v>
      </c>
      <c r="D144" s="11">
        <v>205841</v>
      </c>
      <c r="E144" s="31">
        <v>46235</v>
      </c>
      <c r="F144" s="16" t="s">
        <v>88</v>
      </c>
      <c r="G144" s="22">
        <v>29954</v>
      </c>
      <c r="H144" s="33">
        <v>19.038601</v>
      </c>
      <c r="I144" s="31">
        <v>46235</v>
      </c>
      <c r="J144" s="34">
        <v>0</v>
      </c>
      <c r="K144" s="21">
        <f t="shared" si="2"/>
        <v>570282.25435399998</v>
      </c>
      <c r="L144" s="16" t="s">
        <v>92</v>
      </c>
      <c r="M144" s="11" t="s">
        <v>90</v>
      </c>
      <c r="N144" s="35" t="s">
        <v>92</v>
      </c>
    </row>
    <row r="145" spans="1:14" x14ac:dyDescent="0.3">
      <c r="A145" s="16" t="s">
        <v>24</v>
      </c>
      <c r="B145" s="16" t="s">
        <v>10</v>
      </c>
      <c r="C145" s="11">
        <v>75660</v>
      </c>
      <c r="D145" s="11">
        <v>206153</v>
      </c>
      <c r="E145" s="31">
        <v>46238</v>
      </c>
      <c r="F145" s="16" t="s">
        <v>88</v>
      </c>
      <c r="G145" s="22">
        <v>33419</v>
      </c>
      <c r="H145" s="33">
        <v>18.866187</v>
      </c>
      <c r="I145" s="31">
        <v>46238</v>
      </c>
      <c r="J145" s="34">
        <v>0</v>
      </c>
      <c r="K145" s="21">
        <f t="shared" si="2"/>
        <v>630489.10335300001</v>
      </c>
      <c r="L145" s="16" t="s">
        <v>92</v>
      </c>
      <c r="M145" s="11" t="s">
        <v>90</v>
      </c>
      <c r="N145" s="35" t="s">
        <v>92</v>
      </c>
    </row>
    <row r="146" spans="1:14" x14ac:dyDescent="0.3">
      <c r="A146" s="16" t="s">
        <v>24</v>
      </c>
      <c r="B146" s="16" t="s">
        <v>10</v>
      </c>
      <c r="C146" s="11">
        <v>75742</v>
      </c>
      <c r="D146" s="11">
        <v>206303</v>
      </c>
      <c r="E146" s="31">
        <v>46239</v>
      </c>
      <c r="F146" s="16" t="s">
        <v>88</v>
      </c>
      <c r="G146" s="22">
        <v>19984</v>
      </c>
      <c r="H146" s="33">
        <v>18.736886999999999</v>
      </c>
      <c r="I146" s="31">
        <v>46239</v>
      </c>
      <c r="J146" s="34">
        <v>0</v>
      </c>
      <c r="K146" s="21">
        <f t="shared" si="2"/>
        <v>374437.949808</v>
      </c>
      <c r="L146" s="16" t="s">
        <v>92</v>
      </c>
      <c r="M146" s="11" t="s">
        <v>90</v>
      </c>
      <c r="N146" s="35" t="s">
        <v>92</v>
      </c>
    </row>
    <row r="147" spans="1:14" x14ac:dyDescent="0.3">
      <c r="A147" s="16" t="s">
        <v>24</v>
      </c>
      <c r="B147" s="16" t="s">
        <v>10</v>
      </c>
      <c r="C147" s="11">
        <v>75743</v>
      </c>
      <c r="D147" s="11">
        <v>206302</v>
      </c>
      <c r="E147" s="31">
        <v>46239</v>
      </c>
      <c r="F147" s="16" t="s">
        <v>88</v>
      </c>
      <c r="G147" s="22">
        <v>10131</v>
      </c>
      <c r="H147" s="33">
        <v>18.736886999999999</v>
      </c>
      <c r="I147" s="31">
        <v>46239</v>
      </c>
      <c r="J147" s="34">
        <v>0</v>
      </c>
      <c r="K147" s="21">
        <f t="shared" si="2"/>
        <v>189823.40219699999</v>
      </c>
      <c r="L147" s="16" t="s">
        <v>92</v>
      </c>
      <c r="M147" s="11" t="s">
        <v>90</v>
      </c>
      <c r="N147" s="35" t="s">
        <v>92</v>
      </c>
    </row>
    <row r="148" spans="1:14" x14ac:dyDescent="0.3">
      <c r="A148" s="16" t="s">
        <v>24</v>
      </c>
      <c r="B148" s="16" t="s">
        <v>10</v>
      </c>
      <c r="C148" s="11">
        <v>75773</v>
      </c>
      <c r="D148" s="11">
        <v>206399</v>
      </c>
      <c r="E148" s="31">
        <v>46240</v>
      </c>
      <c r="F148" s="16" t="s">
        <v>88</v>
      </c>
      <c r="G148" s="22">
        <v>29962</v>
      </c>
      <c r="H148" s="33">
        <v>18.594645</v>
      </c>
      <c r="I148" s="31">
        <v>46240</v>
      </c>
      <c r="J148" s="34">
        <v>0</v>
      </c>
      <c r="K148" s="21">
        <f t="shared" si="2"/>
        <v>557132.75349000003</v>
      </c>
      <c r="L148" s="16" t="s">
        <v>92</v>
      </c>
      <c r="M148" s="11" t="s">
        <v>90</v>
      </c>
      <c r="N148" s="35" t="s">
        <v>92</v>
      </c>
    </row>
    <row r="149" spans="1:14" x14ac:dyDescent="0.3">
      <c r="A149" s="16" t="s">
        <v>24</v>
      </c>
      <c r="B149" s="16" t="s">
        <v>10</v>
      </c>
      <c r="C149" s="11">
        <v>75863</v>
      </c>
      <c r="D149" s="11">
        <v>206619</v>
      </c>
      <c r="E149" s="31">
        <v>46242</v>
      </c>
      <c r="F149" s="16" t="s">
        <v>88</v>
      </c>
      <c r="G149" s="22">
        <v>33833</v>
      </c>
      <c r="H149" s="33">
        <v>18.943902000000001</v>
      </c>
      <c r="I149" s="31">
        <v>46242</v>
      </c>
      <c r="J149" s="34">
        <v>0</v>
      </c>
      <c r="K149" s="21">
        <f t="shared" si="2"/>
        <v>640929.03636600007</v>
      </c>
      <c r="L149" s="16" t="s">
        <v>92</v>
      </c>
      <c r="M149" s="11" t="s">
        <v>90</v>
      </c>
      <c r="N149" s="35" t="s">
        <v>92</v>
      </c>
    </row>
    <row r="150" spans="1:14" x14ac:dyDescent="0.3">
      <c r="A150" s="16" t="s">
        <v>24</v>
      </c>
      <c r="B150" s="16" t="s">
        <v>10</v>
      </c>
      <c r="C150" s="11">
        <v>76066</v>
      </c>
      <c r="D150" s="11">
        <v>206965</v>
      </c>
      <c r="E150" s="31">
        <v>46245</v>
      </c>
      <c r="F150" s="16" t="s">
        <v>88</v>
      </c>
      <c r="G150" s="22">
        <v>33341</v>
      </c>
      <c r="H150" s="33">
        <v>19.030108999999999</v>
      </c>
      <c r="I150" s="31">
        <v>46245</v>
      </c>
      <c r="J150" s="34">
        <v>0</v>
      </c>
      <c r="K150" s="21">
        <f t="shared" si="2"/>
        <v>634482.86416899995</v>
      </c>
      <c r="L150" s="16" t="s">
        <v>92</v>
      </c>
      <c r="M150" s="11" t="s">
        <v>90</v>
      </c>
      <c r="N150" s="35" t="s">
        <v>92</v>
      </c>
    </row>
    <row r="151" spans="1:14" x14ac:dyDescent="0.3">
      <c r="A151" s="16" t="s">
        <v>24</v>
      </c>
      <c r="B151" s="16" t="s">
        <v>10</v>
      </c>
      <c r="C151" s="11">
        <v>76171</v>
      </c>
      <c r="D151" s="11">
        <v>207132</v>
      </c>
      <c r="E151" s="31">
        <v>46247</v>
      </c>
      <c r="F151" s="16" t="s">
        <v>88</v>
      </c>
      <c r="G151" s="22">
        <v>33385</v>
      </c>
      <c r="H151" s="33">
        <v>19.030108999999999</v>
      </c>
      <c r="I151" s="31">
        <v>46247</v>
      </c>
      <c r="J151" s="34">
        <v>0</v>
      </c>
      <c r="K151" s="21">
        <f t="shared" si="2"/>
        <v>635320.18896499998</v>
      </c>
      <c r="L151" s="16" t="s">
        <v>92</v>
      </c>
      <c r="M151" s="11" t="s">
        <v>90</v>
      </c>
      <c r="N151" s="35" t="s">
        <v>92</v>
      </c>
    </row>
    <row r="152" spans="1:14" x14ac:dyDescent="0.3">
      <c r="A152" s="16" t="s">
        <v>24</v>
      </c>
      <c r="B152" s="16" t="s">
        <v>10</v>
      </c>
      <c r="C152" s="11">
        <v>76223</v>
      </c>
      <c r="D152" s="11">
        <v>207212</v>
      </c>
      <c r="E152" s="31">
        <v>46248</v>
      </c>
      <c r="F152" s="16" t="s">
        <v>88</v>
      </c>
      <c r="G152" s="22">
        <v>33450</v>
      </c>
      <c r="H152" s="33">
        <v>19.030108999999999</v>
      </c>
      <c r="I152" s="31">
        <v>46248</v>
      </c>
      <c r="J152" s="34">
        <v>0</v>
      </c>
      <c r="K152" s="21">
        <f t="shared" si="2"/>
        <v>636557.14604999998</v>
      </c>
      <c r="L152" s="16" t="s">
        <v>92</v>
      </c>
      <c r="M152" s="11" t="s">
        <v>90</v>
      </c>
      <c r="N152" s="35" t="s">
        <v>92</v>
      </c>
    </row>
    <row r="153" spans="1:14" x14ac:dyDescent="0.3">
      <c r="A153" s="16" t="s">
        <v>24</v>
      </c>
      <c r="B153" s="16" t="s">
        <v>10</v>
      </c>
      <c r="C153" s="11">
        <v>76230</v>
      </c>
      <c r="D153" s="11">
        <v>207290</v>
      </c>
      <c r="E153" s="31">
        <v>46249</v>
      </c>
      <c r="F153" s="16" t="s">
        <v>88</v>
      </c>
      <c r="G153" s="22">
        <v>19985</v>
      </c>
      <c r="H153" s="33">
        <v>19.030242000000001</v>
      </c>
      <c r="I153" s="31">
        <v>46249</v>
      </c>
      <c r="J153" s="34">
        <v>0</v>
      </c>
      <c r="K153" s="21">
        <f t="shared" si="2"/>
        <v>380319.38637000002</v>
      </c>
      <c r="L153" s="16" t="s">
        <v>92</v>
      </c>
      <c r="M153" s="11" t="s">
        <v>90</v>
      </c>
      <c r="N153" s="35" t="s">
        <v>92</v>
      </c>
    </row>
    <row r="154" spans="1:14" x14ac:dyDescent="0.3">
      <c r="A154" s="16" t="s">
        <v>24</v>
      </c>
      <c r="B154" s="16" t="s">
        <v>10</v>
      </c>
      <c r="C154" s="11">
        <v>76272</v>
      </c>
      <c r="D154" s="11">
        <v>207289</v>
      </c>
      <c r="E154" s="31">
        <v>46249</v>
      </c>
      <c r="F154" s="16" t="s">
        <v>88</v>
      </c>
      <c r="G154" s="22">
        <v>7816</v>
      </c>
      <c r="H154" s="33">
        <v>19.030241</v>
      </c>
      <c r="I154" s="31">
        <v>46249</v>
      </c>
      <c r="J154" s="34">
        <v>0</v>
      </c>
      <c r="K154" s="21">
        <f t="shared" si="2"/>
        <v>148740.363656</v>
      </c>
      <c r="L154" s="16" t="s">
        <v>92</v>
      </c>
      <c r="M154" s="11" t="s">
        <v>90</v>
      </c>
      <c r="N154" s="35" t="s">
        <v>92</v>
      </c>
    </row>
    <row r="155" spans="1:14" x14ac:dyDescent="0.3">
      <c r="A155" s="16" t="s">
        <v>24</v>
      </c>
      <c r="B155" s="16" t="s">
        <v>10</v>
      </c>
      <c r="C155" s="11">
        <v>76322</v>
      </c>
      <c r="D155" s="11">
        <v>207399</v>
      </c>
      <c r="E155" s="31">
        <v>46251</v>
      </c>
      <c r="F155" s="16" t="s">
        <v>88</v>
      </c>
      <c r="G155" s="22">
        <v>33837</v>
      </c>
      <c r="H155" s="33">
        <v>19.030242000000001</v>
      </c>
      <c r="I155" s="31">
        <v>46251</v>
      </c>
      <c r="J155" s="34">
        <v>0</v>
      </c>
      <c r="K155" s="21">
        <f t="shared" si="2"/>
        <v>643926.2985540001</v>
      </c>
      <c r="L155" s="16" t="s">
        <v>92</v>
      </c>
      <c r="M155" s="11" t="s">
        <v>90</v>
      </c>
      <c r="N155" s="35" t="s">
        <v>92</v>
      </c>
    </row>
    <row r="156" spans="1:14" x14ac:dyDescent="0.3">
      <c r="A156" s="16" t="s">
        <v>24</v>
      </c>
      <c r="B156" s="16" t="s">
        <v>10</v>
      </c>
      <c r="C156" s="11">
        <v>76433</v>
      </c>
      <c r="D156" s="11">
        <v>207600</v>
      </c>
      <c r="E156" s="31">
        <v>46253</v>
      </c>
      <c r="F156" s="16" t="s">
        <v>88</v>
      </c>
      <c r="G156" s="22">
        <v>33412</v>
      </c>
      <c r="H156" s="33">
        <v>19.030242000000001</v>
      </c>
      <c r="I156" s="31">
        <v>46253</v>
      </c>
      <c r="J156" s="34">
        <v>0</v>
      </c>
      <c r="K156" s="21">
        <f t="shared" si="2"/>
        <v>635838.44570400007</v>
      </c>
      <c r="L156" s="16" t="s">
        <v>92</v>
      </c>
      <c r="M156" s="11" t="s">
        <v>90</v>
      </c>
      <c r="N156" s="35" t="s">
        <v>92</v>
      </c>
    </row>
    <row r="157" spans="1:14" x14ac:dyDescent="0.3">
      <c r="A157" s="16" t="s">
        <v>24</v>
      </c>
      <c r="B157" s="16" t="s">
        <v>10</v>
      </c>
      <c r="C157" s="11">
        <v>76559</v>
      </c>
      <c r="D157" s="11">
        <v>207697</v>
      </c>
      <c r="E157" s="31">
        <v>46254</v>
      </c>
      <c r="F157" s="16" t="s">
        <v>88</v>
      </c>
      <c r="G157" s="22">
        <v>30012</v>
      </c>
      <c r="H157" s="33">
        <v>19.030242000000001</v>
      </c>
      <c r="I157" s="31">
        <v>46254</v>
      </c>
      <c r="J157" s="34">
        <v>0</v>
      </c>
      <c r="K157" s="21">
        <f t="shared" si="2"/>
        <v>571135.62290399999</v>
      </c>
      <c r="L157" s="16" t="s">
        <v>92</v>
      </c>
      <c r="M157" s="11" t="s">
        <v>90</v>
      </c>
      <c r="N157" s="35" t="s">
        <v>92</v>
      </c>
    </row>
    <row r="158" spans="1:14" x14ac:dyDescent="0.3">
      <c r="A158" s="16" t="s">
        <v>24</v>
      </c>
      <c r="B158" s="16" t="s">
        <v>10</v>
      </c>
      <c r="C158" s="11">
        <v>76607</v>
      </c>
      <c r="D158" s="11">
        <v>207778</v>
      </c>
      <c r="E158" s="31">
        <v>46255</v>
      </c>
      <c r="F158" s="16" t="s">
        <v>88</v>
      </c>
      <c r="G158" s="22">
        <v>33426</v>
      </c>
      <c r="H158" s="33">
        <v>19.030242000000001</v>
      </c>
      <c r="I158" s="31">
        <v>46255</v>
      </c>
      <c r="J158" s="34">
        <v>0</v>
      </c>
      <c r="K158" s="21">
        <f t="shared" si="2"/>
        <v>636104.86909200007</v>
      </c>
      <c r="L158" s="16" t="s">
        <v>92</v>
      </c>
      <c r="M158" s="11" t="s">
        <v>90</v>
      </c>
      <c r="N158" s="35" t="s">
        <v>92</v>
      </c>
    </row>
    <row r="159" spans="1:14" x14ac:dyDescent="0.3">
      <c r="A159" s="16" t="s">
        <v>24</v>
      </c>
      <c r="B159" s="16" t="s">
        <v>10</v>
      </c>
      <c r="C159" s="11">
        <v>76755</v>
      </c>
      <c r="D159" s="11">
        <v>207988</v>
      </c>
      <c r="E159" s="31">
        <v>46258</v>
      </c>
      <c r="F159" s="16" t="s">
        <v>88</v>
      </c>
      <c r="G159" s="22">
        <v>33644</v>
      </c>
      <c r="H159" s="33">
        <v>19.030242000000001</v>
      </c>
      <c r="I159" s="31">
        <v>46258</v>
      </c>
      <c r="J159" s="34">
        <v>0</v>
      </c>
      <c r="K159" s="21">
        <f t="shared" si="2"/>
        <v>640253.46184800006</v>
      </c>
      <c r="L159" s="16" t="s">
        <v>92</v>
      </c>
      <c r="M159" s="11" t="s">
        <v>90</v>
      </c>
      <c r="N159" s="35" t="s">
        <v>92</v>
      </c>
    </row>
    <row r="160" spans="1:14" x14ac:dyDescent="0.3">
      <c r="A160" s="16" t="s">
        <v>24</v>
      </c>
      <c r="B160" s="16" t="s">
        <v>10</v>
      </c>
      <c r="C160" s="11">
        <v>76826</v>
      </c>
      <c r="D160" s="11">
        <v>208094</v>
      </c>
      <c r="E160" s="31">
        <v>46259</v>
      </c>
      <c r="F160" s="16" t="s">
        <v>88</v>
      </c>
      <c r="G160" s="22">
        <v>33473</v>
      </c>
      <c r="H160" s="33">
        <v>19.030242000000001</v>
      </c>
      <c r="I160" s="31">
        <v>46259</v>
      </c>
      <c r="J160" s="34">
        <v>0</v>
      </c>
      <c r="K160" s="21">
        <f t="shared" si="2"/>
        <v>636999.29046600009</v>
      </c>
      <c r="L160" s="16" t="s">
        <v>92</v>
      </c>
      <c r="M160" s="11" t="s">
        <v>90</v>
      </c>
      <c r="N160" s="35" t="s">
        <v>92</v>
      </c>
    </row>
    <row r="161" spans="1:14" x14ac:dyDescent="0.3">
      <c r="A161" s="16" t="s">
        <v>24</v>
      </c>
      <c r="B161" s="16" t="s">
        <v>10</v>
      </c>
      <c r="C161" s="11">
        <v>76878</v>
      </c>
      <c r="D161" s="11">
        <v>208186</v>
      </c>
      <c r="E161" s="31">
        <v>46260</v>
      </c>
      <c r="F161" s="16" t="s">
        <v>88</v>
      </c>
      <c r="G161" s="22">
        <v>33303</v>
      </c>
      <c r="H161" s="33">
        <v>19.030242000000001</v>
      </c>
      <c r="I161" s="31">
        <v>46260</v>
      </c>
      <c r="J161" s="34">
        <v>0</v>
      </c>
      <c r="K161" s="21">
        <f t="shared" si="2"/>
        <v>633764.14932600001</v>
      </c>
      <c r="L161" s="16" t="s">
        <v>92</v>
      </c>
      <c r="M161" s="11" t="s">
        <v>90</v>
      </c>
      <c r="N161" s="35" t="s">
        <v>92</v>
      </c>
    </row>
    <row r="162" spans="1:14" x14ac:dyDescent="0.3">
      <c r="A162" s="16" t="s">
        <v>24</v>
      </c>
      <c r="B162" s="16" t="s">
        <v>10</v>
      </c>
      <c r="C162" s="11">
        <v>77065</v>
      </c>
      <c r="D162" s="11">
        <v>208427</v>
      </c>
      <c r="E162" s="31">
        <v>46262</v>
      </c>
      <c r="F162" s="16" t="s">
        <v>88</v>
      </c>
      <c r="G162" s="22">
        <v>33365</v>
      </c>
      <c r="H162" s="33">
        <v>19.030242000000001</v>
      </c>
      <c r="I162" s="31">
        <v>46262</v>
      </c>
      <c r="J162" s="34">
        <v>0</v>
      </c>
      <c r="K162" s="21">
        <f t="shared" si="2"/>
        <v>634944.02433000004</v>
      </c>
      <c r="L162" s="16" t="s">
        <v>92</v>
      </c>
      <c r="M162" s="11" t="s">
        <v>90</v>
      </c>
      <c r="N162" s="35" t="s">
        <v>92</v>
      </c>
    </row>
    <row r="163" spans="1:14" x14ac:dyDescent="0.3">
      <c r="A163" s="16" t="s">
        <v>24</v>
      </c>
      <c r="B163" s="16" t="s">
        <v>10</v>
      </c>
      <c r="C163" s="11">
        <v>77072</v>
      </c>
      <c r="D163" s="11">
        <v>208518</v>
      </c>
      <c r="E163" s="31">
        <v>46263</v>
      </c>
      <c r="F163" s="16" t="s">
        <v>88</v>
      </c>
      <c r="G163" s="22">
        <v>29967</v>
      </c>
      <c r="H163" s="33">
        <v>19.030242000000001</v>
      </c>
      <c r="I163" s="31">
        <v>46263</v>
      </c>
      <c r="J163" s="34">
        <v>0</v>
      </c>
      <c r="K163" s="21">
        <f t="shared" si="2"/>
        <v>570279.26201400009</v>
      </c>
      <c r="L163" s="16" t="s">
        <v>92</v>
      </c>
      <c r="M163" s="11" t="s">
        <v>90</v>
      </c>
      <c r="N163" s="35" t="s">
        <v>92</v>
      </c>
    </row>
    <row r="164" spans="1:14" x14ac:dyDescent="0.3">
      <c r="A164" s="16" t="s">
        <v>25</v>
      </c>
      <c r="B164" s="16" t="s">
        <v>12</v>
      </c>
      <c r="C164" s="11">
        <v>75726</v>
      </c>
      <c r="D164" s="11">
        <v>206286</v>
      </c>
      <c r="E164" s="31">
        <v>46239</v>
      </c>
      <c r="F164" s="16" t="s">
        <v>88</v>
      </c>
      <c r="G164" s="22">
        <v>33359</v>
      </c>
      <c r="H164" s="33">
        <v>21.406845000000001</v>
      </c>
      <c r="I164" s="31">
        <v>46239</v>
      </c>
      <c r="J164" s="34">
        <v>0</v>
      </c>
      <c r="K164" s="21">
        <f t="shared" si="2"/>
        <v>714110.94235500006</v>
      </c>
      <c r="L164" s="16" t="s">
        <v>92</v>
      </c>
      <c r="M164" s="11" t="s">
        <v>90</v>
      </c>
      <c r="N164" s="35" t="s">
        <v>92</v>
      </c>
    </row>
    <row r="165" spans="1:14" x14ac:dyDescent="0.3">
      <c r="A165" s="16" t="s">
        <v>25</v>
      </c>
      <c r="B165" s="16" t="s">
        <v>12</v>
      </c>
      <c r="C165" s="11">
        <v>75890</v>
      </c>
      <c r="D165" s="11">
        <v>206676</v>
      </c>
      <c r="E165" s="31">
        <v>46242</v>
      </c>
      <c r="F165" s="16" t="s">
        <v>88</v>
      </c>
      <c r="G165" s="22">
        <v>10072</v>
      </c>
      <c r="H165" s="33">
        <v>21.665465999999999</v>
      </c>
      <c r="I165" s="31">
        <v>46242</v>
      </c>
      <c r="J165" s="34">
        <v>0</v>
      </c>
      <c r="K165" s="21">
        <f t="shared" si="2"/>
        <v>218214.57355199999</v>
      </c>
      <c r="L165" s="16" t="s">
        <v>92</v>
      </c>
      <c r="M165" s="11" t="s">
        <v>90</v>
      </c>
      <c r="N165" s="35" t="s">
        <v>92</v>
      </c>
    </row>
    <row r="166" spans="1:14" x14ac:dyDescent="0.3">
      <c r="A166" s="16" t="s">
        <v>25</v>
      </c>
      <c r="B166" s="16" t="s">
        <v>12</v>
      </c>
      <c r="C166" s="11">
        <v>75891</v>
      </c>
      <c r="D166" s="11">
        <v>206677</v>
      </c>
      <c r="E166" s="31">
        <v>46242</v>
      </c>
      <c r="F166" s="16" t="s">
        <v>88</v>
      </c>
      <c r="G166" s="22">
        <v>19824</v>
      </c>
      <c r="H166" s="33">
        <v>21.665465999999999</v>
      </c>
      <c r="I166" s="31">
        <v>46242</v>
      </c>
      <c r="J166" s="34">
        <v>0</v>
      </c>
      <c r="K166" s="21">
        <f t="shared" si="2"/>
        <v>429496.19798399997</v>
      </c>
      <c r="L166" s="16" t="s">
        <v>92</v>
      </c>
      <c r="M166" s="11" t="s">
        <v>90</v>
      </c>
      <c r="N166" s="35" t="s">
        <v>92</v>
      </c>
    </row>
    <row r="167" spans="1:14" x14ac:dyDescent="0.3">
      <c r="A167" s="16" t="s">
        <v>25</v>
      </c>
      <c r="B167" s="16" t="s">
        <v>12</v>
      </c>
      <c r="C167" s="11">
        <v>76062</v>
      </c>
      <c r="D167" s="11">
        <v>206958</v>
      </c>
      <c r="E167" s="31">
        <v>46245</v>
      </c>
      <c r="F167" s="16" t="s">
        <v>88</v>
      </c>
      <c r="G167" s="22">
        <v>29937</v>
      </c>
      <c r="H167" s="33">
        <v>22.139603999999999</v>
      </c>
      <c r="I167" s="31">
        <v>46245</v>
      </c>
      <c r="J167" s="34">
        <v>0</v>
      </c>
      <c r="K167" s="21">
        <f t="shared" si="2"/>
        <v>662793.32494799991</v>
      </c>
      <c r="L167" s="16" t="s">
        <v>92</v>
      </c>
      <c r="M167" s="11" t="s">
        <v>90</v>
      </c>
      <c r="N167" s="35" t="s">
        <v>92</v>
      </c>
    </row>
    <row r="168" spans="1:14" x14ac:dyDescent="0.3">
      <c r="A168" s="16" t="s">
        <v>25</v>
      </c>
      <c r="B168" s="16" t="s">
        <v>12</v>
      </c>
      <c r="C168" s="11">
        <v>76135</v>
      </c>
      <c r="D168" s="11">
        <v>207101</v>
      </c>
      <c r="E168" s="31">
        <v>46247</v>
      </c>
      <c r="F168" s="16" t="s">
        <v>88</v>
      </c>
      <c r="G168" s="22">
        <v>30130</v>
      </c>
      <c r="H168" s="33">
        <v>22.225811</v>
      </c>
      <c r="I168" s="31">
        <v>46247</v>
      </c>
      <c r="J168" s="34">
        <v>0</v>
      </c>
      <c r="K168" s="21">
        <f t="shared" si="2"/>
        <v>669663.68542999995</v>
      </c>
      <c r="L168" s="16" t="s">
        <v>92</v>
      </c>
      <c r="M168" s="11" t="s">
        <v>90</v>
      </c>
      <c r="N168" s="35" t="s">
        <v>92</v>
      </c>
    </row>
    <row r="169" spans="1:14" x14ac:dyDescent="0.3">
      <c r="A169" s="16" t="s">
        <v>25</v>
      </c>
      <c r="B169" s="16" t="s">
        <v>12</v>
      </c>
      <c r="C169" s="11">
        <v>76321</v>
      </c>
      <c r="D169" s="11">
        <v>207395</v>
      </c>
      <c r="E169" s="31">
        <v>46251</v>
      </c>
      <c r="F169" s="16" t="s">
        <v>88</v>
      </c>
      <c r="G169" s="22">
        <v>30139</v>
      </c>
      <c r="H169" s="33">
        <v>22.120964000000001</v>
      </c>
      <c r="I169" s="31">
        <v>46251</v>
      </c>
      <c r="J169" s="34">
        <v>0</v>
      </c>
      <c r="K169" s="21">
        <f t="shared" si="2"/>
        <v>666703.73399600002</v>
      </c>
      <c r="L169" s="16" t="s">
        <v>92</v>
      </c>
      <c r="M169" s="11" t="s">
        <v>90</v>
      </c>
      <c r="N169" s="35" t="s">
        <v>92</v>
      </c>
    </row>
    <row r="170" spans="1:14" x14ac:dyDescent="0.3">
      <c r="A170" s="16" t="s">
        <v>25</v>
      </c>
      <c r="B170" s="16" t="s">
        <v>12</v>
      </c>
      <c r="C170" s="11">
        <v>76528</v>
      </c>
      <c r="D170" s="11">
        <v>207655</v>
      </c>
      <c r="E170" s="31">
        <v>46254</v>
      </c>
      <c r="F170" s="16" t="s">
        <v>88</v>
      </c>
      <c r="G170" s="22">
        <v>30058</v>
      </c>
      <c r="H170" s="33">
        <v>22.224412999999998</v>
      </c>
      <c r="I170" s="31">
        <v>46254</v>
      </c>
      <c r="J170" s="34">
        <v>0</v>
      </c>
      <c r="K170" s="21">
        <f t="shared" si="2"/>
        <v>668021.40595399996</v>
      </c>
      <c r="L170" s="16" t="s">
        <v>92</v>
      </c>
      <c r="M170" s="11" t="s">
        <v>90</v>
      </c>
      <c r="N170" s="35" t="s">
        <v>92</v>
      </c>
    </row>
    <row r="171" spans="1:14" x14ac:dyDescent="0.3">
      <c r="A171" s="16" t="s">
        <v>25</v>
      </c>
      <c r="B171" s="16" t="s">
        <v>12</v>
      </c>
      <c r="C171" s="11">
        <v>76667</v>
      </c>
      <c r="D171" s="11">
        <v>207850</v>
      </c>
      <c r="E171" s="31">
        <v>46256</v>
      </c>
      <c r="F171" s="16" t="s">
        <v>88</v>
      </c>
      <c r="G171" s="22">
        <v>10085</v>
      </c>
      <c r="H171" s="33">
        <v>22.138206</v>
      </c>
      <c r="I171" s="31">
        <v>46256</v>
      </c>
      <c r="J171" s="34">
        <v>0</v>
      </c>
      <c r="K171" s="21">
        <f t="shared" si="2"/>
        <v>223263.80751000001</v>
      </c>
      <c r="L171" s="16" t="s">
        <v>92</v>
      </c>
      <c r="M171" s="11" t="s">
        <v>90</v>
      </c>
      <c r="N171" s="35" t="s">
        <v>92</v>
      </c>
    </row>
    <row r="172" spans="1:14" x14ac:dyDescent="0.3">
      <c r="A172" s="16" t="s">
        <v>25</v>
      </c>
      <c r="B172" s="16" t="s">
        <v>12</v>
      </c>
      <c r="C172" s="11">
        <v>76668</v>
      </c>
      <c r="D172" s="11">
        <v>207851</v>
      </c>
      <c r="E172" s="31">
        <v>46256</v>
      </c>
      <c r="F172" s="16" t="s">
        <v>88</v>
      </c>
      <c r="G172" s="22">
        <v>19848</v>
      </c>
      <c r="H172" s="33">
        <v>22.138206</v>
      </c>
      <c r="I172" s="31">
        <v>46256</v>
      </c>
      <c r="J172" s="34">
        <v>0</v>
      </c>
      <c r="K172" s="21">
        <f t="shared" si="2"/>
        <v>439399.11268800002</v>
      </c>
      <c r="L172" s="16" t="s">
        <v>92</v>
      </c>
      <c r="M172" s="11" t="s">
        <v>90</v>
      </c>
      <c r="N172" s="35" t="s">
        <v>92</v>
      </c>
    </row>
    <row r="173" spans="1:14" x14ac:dyDescent="0.3">
      <c r="A173" s="16" t="s">
        <v>25</v>
      </c>
      <c r="B173" s="16" t="s">
        <v>12</v>
      </c>
      <c r="C173" s="11">
        <v>76825</v>
      </c>
      <c r="D173" s="11">
        <v>208091</v>
      </c>
      <c r="E173" s="31">
        <v>46259</v>
      </c>
      <c r="F173" s="16" t="s">
        <v>88</v>
      </c>
      <c r="G173" s="22">
        <v>29927</v>
      </c>
      <c r="H173" s="33">
        <v>21.788734000000002</v>
      </c>
      <c r="I173" s="31">
        <v>46259</v>
      </c>
      <c r="J173" s="34">
        <v>0</v>
      </c>
      <c r="K173" s="21">
        <f t="shared" si="2"/>
        <v>652071.44241800008</v>
      </c>
      <c r="L173" s="16" t="s">
        <v>92</v>
      </c>
      <c r="M173" s="11" t="s">
        <v>90</v>
      </c>
      <c r="N173" s="35" t="s">
        <v>92</v>
      </c>
    </row>
    <row r="174" spans="1:14" x14ac:dyDescent="0.3">
      <c r="A174" s="16" t="s">
        <v>25</v>
      </c>
      <c r="B174" s="16" t="s">
        <v>12</v>
      </c>
      <c r="C174" s="11">
        <v>76944</v>
      </c>
      <c r="D174" s="11">
        <v>208290</v>
      </c>
      <c r="E174" s="31">
        <v>46261</v>
      </c>
      <c r="F174" s="16" t="s">
        <v>88</v>
      </c>
      <c r="G174" s="22">
        <v>29973</v>
      </c>
      <c r="H174" s="33">
        <v>21.788734000000002</v>
      </c>
      <c r="I174" s="31">
        <v>46261</v>
      </c>
      <c r="J174" s="34">
        <v>0</v>
      </c>
      <c r="K174" s="21">
        <f t="shared" si="2"/>
        <v>653073.72418200003</v>
      </c>
      <c r="L174" s="16" t="s">
        <v>92</v>
      </c>
      <c r="M174" s="11" t="s">
        <v>90</v>
      </c>
      <c r="N174" s="35" t="s">
        <v>92</v>
      </c>
    </row>
    <row r="175" spans="1:14" x14ac:dyDescent="0.3">
      <c r="A175" s="16" t="s">
        <v>25</v>
      </c>
      <c r="B175" s="16" t="s">
        <v>12</v>
      </c>
      <c r="C175" s="11">
        <v>77147</v>
      </c>
      <c r="D175" s="11">
        <v>208676</v>
      </c>
      <c r="E175" s="31">
        <v>46265</v>
      </c>
      <c r="F175" s="16" t="s">
        <v>88</v>
      </c>
      <c r="G175" s="22">
        <v>29943</v>
      </c>
      <c r="H175" s="33">
        <v>21.788734000000002</v>
      </c>
      <c r="I175" s="31">
        <v>46265</v>
      </c>
      <c r="J175" s="34">
        <v>0</v>
      </c>
      <c r="K175" s="21">
        <f t="shared" si="2"/>
        <v>652420.0621620001</v>
      </c>
      <c r="L175" s="16" t="s">
        <v>92</v>
      </c>
      <c r="M175" s="11" t="s">
        <v>90</v>
      </c>
      <c r="N175" s="35" t="s">
        <v>92</v>
      </c>
    </row>
    <row r="176" spans="1:14" x14ac:dyDescent="0.3">
      <c r="A176" s="16" t="s">
        <v>25</v>
      </c>
      <c r="B176" s="16" t="s">
        <v>11</v>
      </c>
      <c r="C176" s="11">
        <v>76225</v>
      </c>
      <c r="D176" s="11">
        <v>207209</v>
      </c>
      <c r="E176" s="31">
        <v>46248</v>
      </c>
      <c r="F176" s="16" t="s">
        <v>88</v>
      </c>
      <c r="G176" s="22">
        <v>29929</v>
      </c>
      <c r="H176" s="33">
        <v>22.355148</v>
      </c>
      <c r="I176" s="31">
        <v>46248</v>
      </c>
      <c r="J176" s="34">
        <v>0</v>
      </c>
      <c r="K176" s="21">
        <f t="shared" si="2"/>
        <v>669067.22449199995</v>
      </c>
      <c r="L176" s="16" t="s">
        <v>92</v>
      </c>
      <c r="M176" s="11" t="s">
        <v>90</v>
      </c>
      <c r="N176" s="35" t="s">
        <v>92</v>
      </c>
    </row>
    <row r="177" spans="1:14" x14ac:dyDescent="0.3">
      <c r="A177" s="16" t="s">
        <v>25</v>
      </c>
      <c r="B177" s="16" t="s">
        <v>11</v>
      </c>
      <c r="C177" s="11">
        <v>77146</v>
      </c>
      <c r="D177" s="11">
        <v>208677</v>
      </c>
      <c r="E177" s="31">
        <v>46265</v>
      </c>
      <c r="F177" s="16" t="s">
        <v>88</v>
      </c>
      <c r="G177" s="22">
        <v>29905</v>
      </c>
      <c r="H177" s="33">
        <v>22.821498999999999</v>
      </c>
      <c r="I177" s="31">
        <v>46265</v>
      </c>
      <c r="J177" s="34">
        <v>0</v>
      </c>
      <c r="K177" s="21">
        <f t="shared" si="2"/>
        <v>682476.92759500002</v>
      </c>
      <c r="L177" s="16" t="s">
        <v>92</v>
      </c>
      <c r="M177" s="11" t="s">
        <v>90</v>
      </c>
      <c r="N177" s="35" t="s">
        <v>92</v>
      </c>
    </row>
    <row r="178" spans="1:14" x14ac:dyDescent="0.3">
      <c r="A178" s="16" t="s">
        <v>25</v>
      </c>
      <c r="B178" s="16" t="s">
        <v>10</v>
      </c>
      <c r="C178" s="11">
        <v>75492</v>
      </c>
      <c r="D178" s="11">
        <v>205832</v>
      </c>
      <c r="E178" s="31">
        <v>46235</v>
      </c>
      <c r="F178" s="16" t="s">
        <v>88</v>
      </c>
      <c r="G178" s="22">
        <v>10080</v>
      </c>
      <c r="H178" s="33">
        <v>19.200053</v>
      </c>
      <c r="I178" s="31"/>
      <c r="J178" s="34"/>
      <c r="K178" s="21">
        <f t="shared" si="2"/>
        <v>193536.53424000001</v>
      </c>
      <c r="L178" s="16" t="s">
        <v>97</v>
      </c>
      <c r="M178" s="11" t="s">
        <v>98</v>
      </c>
      <c r="N178" s="35" t="s">
        <v>97</v>
      </c>
    </row>
    <row r="179" spans="1:14" x14ac:dyDescent="0.3">
      <c r="A179" s="16" t="s">
        <v>25</v>
      </c>
      <c r="B179" s="16" t="s">
        <v>10</v>
      </c>
      <c r="C179" s="11">
        <v>75493</v>
      </c>
      <c r="D179" s="11">
        <v>205833</v>
      </c>
      <c r="E179" s="31">
        <v>46235</v>
      </c>
      <c r="F179" s="16" t="s">
        <v>88</v>
      </c>
      <c r="G179" s="22">
        <v>19797</v>
      </c>
      <c r="H179" s="33">
        <v>19.200053</v>
      </c>
      <c r="I179" s="31"/>
      <c r="J179" s="34"/>
      <c r="K179" s="21">
        <f t="shared" si="2"/>
        <v>380103.44924099999</v>
      </c>
      <c r="L179" s="16" t="s">
        <v>97</v>
      </c>
      <c r="M179" s="11" t="s">
        <v>98</v>
      </c>
      <c r="N179" s="35" t="s">
        <v>97</v>
      </c>
    </row>
    <row r="180" spans="1:14" x14ac:dyDescent="0.3">
      <c r="A180" s="16" t="s">
        <v>25</v>
      </c>
      <c r="B180" s="16" t="s">
        <v>10</v>
      </c>
      <c r="C180" s="11">
        <v>75656</v>
      </c>
      <c r="D180" s="11">
        <v>206118</v>
      </c>
      <c r="E180" s="31">
        <v>46238</v>
      </c>
      <c r="F180" s="16" t="s">
        <v>88</v>
      </c>
      <c r="G180" s="22">
        <v>29821</v>
      </c>
      <c r="H180" s="33">
        <v>19.027639000000001</v>
      </c>
      <c r="I180" s="31">
        <v>46238</v>
      </c>
      <c r="J180" s="34">
        <v>0</v>
      </c>
      <c r="K180" s="21">
        <f t="shared" si="2"/>
        <v>567423.22261900001</v>
      </c>
      <c r="L180" s="16" t="s">
        <v>92</v>
      </c>
      <c r="M180" s="11" t="s">
        <v>90</v>
      </c>
      <c r="N180" s="35" t="s">
        <v>92</v>
      </c>
    </row>
    <row r="181" spans="1:14" x14ac:dyDescent="0.3">
      <c r="A181" s="16" t="s">
        <v>25</v>
      </c>
      <c r="B181" s="16" t="s">
        <v>10</v>
      </c>
      <c r="C181" s="11">
        <v>75849</v>
      </c>
      <c r="D181" s="11">
        <v>206540</v>
      </c>
      <c r="E181" s="31">
        <v>46241</v>
      </c>
      <c r="F181" s="16" t="s">
        <v>88</v>
      </c>
      <c r="G181" s="22">
        <v>29839</v>
      </c>
      <c r="H181" s="33">
        <v>18.708385</v>
      </c>
      <c r="I181" s="31">
        <v>46241</v>
      </c>
      <c r="J181" s="34">
        <v>0</v>
      </c>
      <c r="K181" s="21">
        <f t="shared" si="2"/>
        <v>558239.500015</v>
      </c>
      <c r="L181" s="16" t="s">
        <v>92</v>
      </c>
      <c r="M181" s="11" t="s">
        <v>90</v>
      </c>
      <c r="N181" s="35" t="s">
        <v>92</v>
      </c>
    </row>
    <row r="182" spans="1:14" x14ac:dyDescent="0.3">
      <c r="A182" s="16" t="s">
        <v>25</v>
      </c>
      <c r="B182" s="16" t="s">
        <v>10</v>
      </c>
      <c r="C182" s="11">
        <v>76061</v>
      </c>
      <c r="D182" s="11">
        <v>206959</v>
      </c>
      <c r="E182" s="31">
        <v>46245</v>
      </c>
      <c r="F182" s="16" t="s">
        <v>88</v>
      </c>
      <c r="G182" s="22">
        <v>29907</v>
      </c>
      <c r="H182" s="33">
        <v>19.176909999999999</v>
      </c>
      <c r="I182" s="31">
        <v>46245</v>
      </c>
      <c r="J182" s="34">
        <v>0</v>
      </c>
      <c r="K182" s="21">
        <f t="shared" si="2"/>
        <v>573523.84736999997</v>
      </c>
      <c r="L182" s="16" t="s">
        <v>92</v>
      </c>
      <c r="M182" s="11" t="s">
        <v>90</v>
      </c>
      <c r="N182" s="35" t="s">
        <v>92</v>
      </c>
    </row>
    <row r="183" spans="1:14" x14ac:dyDescent="0.3">
      <c r="A183" s="16" t="s">
        <v>25</v>
      </c>
      <c r="B183" s="16" t="s">
        <v>10</v>
      </c>
      <c r="C183" s="11">
        <v>76137</v>
      </c>
      <c r="D183" s="11">
        <v>207102</v>
      </c>
      <c r="E183" s="31">
        <v>46247</v>
      </c>
      <c r="F183" s="16" t="s">
        <v>88</v>
      </c>
      <c r="G183" s="22">
        <v>30152</v>
      </c>
      <c r="H183" s="33">
        <v>19.176909999999999</v>
      </c>
      <c r="I183" s="31">
        <v>46247</v>
      </c>
      <c r="J183" s="34">
        <v>0</v>
      </c>
      <c r="K183" s="21">
        <f t="shared" si="2"/>
        <v>578222.19031999994</v>
      </c>
      <c r="L183" s="16" t="s">
        <v>92</v>
      </c>
      <c r="M183" s="11" t="s">
        <v>90</v>
      </c>
      <c r="N183" s="35" t="s">
        <v>92</v>
      </c>
    </row>
    <row r="184" spans="1:14" x14ac:dyDescent="0.3">
      <c r="A184" s="16" t="s">
        <v>25</v>
      </c>
      <c r="B184" s="16" t="s">
        <v>10</v>
      </c>
      <c r="C184" s="11">
        <v>76273</v>
      </c>
      <c r="D184" s="11">
        <v>207304</v>
      </c>
      <c r="E184" s="31">
        <v>46249</v>
      </c>
      <c r="F184" s="16" t="s">
        <v>88</v>
      </c>
      <c r="G184" s="22">
        <v>29864</v>
      </c>
      <c r="H184" s="33">
        <v>19.176909999999999</v>
      </c>
      <c r="I184" s="31">
        <v>46249</v>
      </c>
      <c r="J184" s="34">
        <v>0</v>
      </c>
      <c r="K184" s="21">
        <f t="shared" si="2"/>
        <v>572699.24023999996</v>
      </c>
      <c r="L184" s="16" t="s">
        <v>92</v>
      </c>
      <c r="M184" s="11" t="s">
        <v>90</v>
      </c>
      <c r="N184" s="35" t="s">
        <v>92</v>
      </c>
    </row>
    <row r="185" spans="1:14" x14ac:dyDescent="0.3">
      <c r="A185" s="16" t="s">
        <v>25</v>
      </c>
      <c r="B185" s="16" t="s">
        <v>10</v>
      </c>
      <c r="C185" s="11">
        <v>76320</v>
      </c>
      <c r="D185" s="11">
        <v>207396</v>
      </c>
      <c r="E185" s="31">
        <v>46251</v>
      </c>
      <c r="F185" s="16" t="s">
        <v>88</v>
      </c>
      <c r="G185" s="22">
        <v>30154</v>
      </c>
      <c r="H185" s="33">
        <v>19.176909999999999</v>
      </c>
      <c r="I185" s="31">
        <v>46251</v>
      </c>
      <c r="J185" s="34">
        <v>0</v>
      </c>
      <c r="K185" s="21">
        <f t="shared" si="2"/>
        <v>578260.54414000001</v>
      </c>
      <c r="L185" s="16" t="s">
        <v>92</v>
      </c>
      <c r="M185" s="11" t="s">
        <v>90</v>
      </c>
      <c r="N185" s="35" t="s">
        <v>92</v>
      </c>
    </row>
    <row r="186" spans="1:14" x14ac:dyDescent="0.3">
      <c r="A186" s="16" t="s">
        <v>25</v>
      </c>
      <c r="B186" s="16" t="s">
        <v>10</v>
      </c>
      <c r="C186" s="11">
        <v>76529</v>
      </c>
      <c r="D186" s="11">
        <v>207656</v>
      </c>
      <c r="E186" s="31">
        <v>46254</v>
      </c>
      <c r="F186" s="16" t="s">
        <v>88</v>
      </c>
      <c r="G186" s="22">
        <v>29997</v>
      </c>
      <c r="H186" s="33">
        <v>19.176909999999999</v>
      </c>
      <c r="I186" s="31">
        <v>46254</v>
      </c>
      <c r="J186" s="34">
        <v>0</v>
      </c>
      <c r="K186" s="21">
        <f t="shared" si="2"/>
        <v>575249.76926999993</v>
      </c>
      <c r="L186" s="16" t="s">
        <v>92</v>
      </c>
      <c r="M186" s="11" t="s">
        <v>90</v>
      </c>
      <c r="N186" s="35" t="s">
        <v>92</v>
      </c>
    </row>
    <row r="187" spans="1:14" x14ac:dyDescent="0.3">
      <c r="A187" s="16" t="s">
        <v>25</v>
      </c>
      <c r="B187" s="16" t="s">
        <v>10</v>
      </c>
      <c r="C187" s="11">
        <v>76669</v>
      </c>
      <c r="D187" s="11">
        <v>207860</v>
      </c>
      <c r="E187" s="31">
        <v>46256</v>
      </c>
      <c r="F187" s="16" t="s">
        <v>88</v>
      </c>
      <c r="G187" s="22">
        <v>33332</v>
      </c>
      <c r="H187" s="33">
        <v>19.176909999999999</v>
      </c>
      <c r="I187" s="31">
        <v>46256</v>
      </c>
      <c r="J187" s="34">
        <v>0</v>
      </c>
      <c r="K187" s="21">
        <f t="shared" si="2"/>
        <v>639204.76411999995</v>
      </c>
      <c r="L187" s="16" t="s">
        <v>92</v>
      </c>
      <c r="M187" s="11" t="s">
        <v>90</v>
      </c>
      <c r="N187" s="35" t="s">
        <v>92</v>
      </c>
    </row>
    <row r="188" spans="1:14" x14ac:dyDescent="0.3">
      <c r="A188" s="16" t="s">
        <v>25</v>
      </c>
      <c r="B188" s="16" t="s">
        <v>10</v>
      </c>
      <c r="C188" s="11">
        <v>76824</v>
      </c>
      <c r="D188" s="11">
        <v>208092</v>
      </c>
      <c r="E188" s="31">
        <v>46259</v>
      </c>
      <c r="F188" s="16" t="s">
        <v>88</v>
      </c>
      <c r="G188" s="22">
        <v>29922</v>
      </c>
      <c r="H188" s="33">
        <v>19.176909999999999</v>
      </c>
      <c r="I188" s="31">
        <v>46259</v>
      </c>
      <c r="J188" s="34">
        <v>0</v>
      </c>
      <c r="K188" s="21">
        <f t="shared" si="2"/>
        <v>573811.50101999997</v>
      </c>
      <c r="L188" s="16" t="s">
        <v>92</v>
      </c>
      <c r="M188" s="11" t="s">
        <v>90</v>
      </c>
      <c r="N188" s="35" t="s">
        <v>92</v>
      </c>
    </row>
    <row r="189" spans="1:14" x14ac:dyDescent="0.3">
      <c r="A189" s="16" t="s">
        <v>25</v>
      </c>
      <c r="B189" s="16" t="s">
        <v>10</v>
      </c>
      <c r="C189" s="11">
        <v>76943</v>
      </c>
      <c r="D189" s="11">
        <v>208291</v>
      </c>
      <c r="E189" s="31">
        <v>46261</v>
      </c>
      <c r="F189" s="16" t="s">
        <v>88</v>
      </c>
      <c r="G189" s="22">
        <v>29925</v>
      </c>
      <c r="H189" s="33">
        <v>19.176909999999999</v>
      </c>
      <c r="I189" s="31">
        <v>46261</v>
      </c>
      <c r="J189" s="34">
        <v>0</v>
      </c>
      <c r="K189" s="21">
        <f t="shared" si="2"/>
        <v>573869.03174999997</v>
      </c>
      <c r="L189" s="16" t="s">
        <v>92</v>
      </c>
      <c r="M189" s="11" t="s">
        <v>90</v>
      </c>
      <c r="N189" s="35" t="s">
        <v>92</v>
      </c>
    </row>
    <row r="190" spans="1:14" x14ac:dyDescent="0.3">
      <c r="A190" s="16" t="s">
        <v>25</v>
      </c>
      <c r="B190" s="16" t="s">
        <v>10</v>
      </c>
      <c r="C190" s="11">
        <v>77110</v>
      </c>
      <c r="D190" s="11">
        <v>208602</v>
      </c>
      <c r="E190" s="31">
        <v>46264</v>
      </c>
      <c r="F190" s="16" t="s">
        <v>88</v>
      </c>
      <c r="G190" s="22">
        <v>29910</v>
      </c>
      <c r="H190" s="33">
        <v>19.176909999999999</v>
      </c>
      <c r="I190" s="31">
        <v>46264</v>
      </c>
      <c r="J190" s="34">
        <v>0</v>
      </c>
      <c r="K190" s="21">
        <f t="shared" si="2"/>
        <v>573581.37809999997</v>
      </c>
      <c r="L190" s="16" t="s">
        <v>92</v>
      </c>
      <c r="M190" s="11" t="s">
        <v>90</v>
      </c>
      <c r="N190" s="35" t="s">
        <v>92</v>
      </c>
    </row>
    <row r="191" spans="1:14" x14ac:dyDescent="0.3">
      <c r="A191" s="16" t="s">
        <v>26</v>
      </c>
      <c r="B191" s="16" t="s">
        <v>12</v>
      </c>
      <c r="C191" s="11">
        <v>75473</v>
      </c>
      <c r="D191" s="11">
        <v>205797</v>
      </c>
      <c r="E191" s="31">
        <v>46235</v>
      </c>
      <c r="F191" s="16" t="s">
        <v>88</v>
      </c>
      <c r="G191" s="22">
        <v>29982</v>
      </c>
      <c r="H191" s="33">
        <v>21.834004</v>
      </c>
      <c r="I191" s="31"/>
      <c r="J191" s="34"/>
      <c r="K191" s="21">
        <f t="shared" si="2"/>
        <v>654627.10792800004</v>
      </c>
      <c r="L191" s="16" t="s">
        <v>97</v>
      </c>
      <c r="M191" s="11" t="s">
        <v>98</v>
      </c>
      <c r="N191" s="35" t="s">
        <v>97</v>
      </c>
    </row>
    <row r="192" spans="1:14" x14ac:dyDescent="0.3">
      <c r="A192" s="16" t="s">
        <v>26</v>
      </c>
      <c r="B192" s="16" t="s">
        <v>12</v>
      </c>
      <c r="C192" s="11">
        <v>75599</v>
      </c>
      <c r="D192" s="11">
        <v>206037</v>
      </c>
      <c r="E192" s="31">
        <v>46237</v>
      </c>
      <c r="F192" s="16" t="s">
        <v>88</v>
      </c>
      <c r="G192" s="22">
        <v>10051</v>
      </c>
      <c r="H192" s="33">
        <v>21.834004</v>
      </c>
      <c r="I192" s="31">
        <v>46237</v>
      </c>
      <c r="J192" s="34">
        <v>0</v>
      </c>
      <c r="K192" s="21">
        <f t="shared" si="2"/>
        <v>219453.574204</v>
      </c>
      <c r="L192" s="16" t="s">
        <v>92</v>
      </c>
      <c r="M192" s="11" t="s">
        <v>90</v>
      </c>
      <c r="N192" s="35" t="s">
        <v>92</v>
      </c>
    </row>
    <row r="193" spans="1:14" x14ac:dyDescent="0.3">
      <c r="A193" s="16" t="s">
        <v>26</v>
      </c>
      <c r="B193" s="16" t="s">
        <v>12</v>
      </c>
      <c r="C193" s="11">
        <v>75600</v>
      </c>
      <c r="D193" s="11">
        <v>206038</v>
      </c>
      <c r="E193" s="31">
        <v>46237</v>
      </c>
      <c r="F193" s="16" t="s">
        <v>88</v>
      </c>
      <c r="G193" s="22">
        <v>19789</v>
      </c>
      <c r="H193" s="33">
        <v>21.834004</v>
      </c>
      <c r="I193" s="31">
        <v>46237</v>
      </c>
      <c r="J193" s="34">
        <v>0</v>
      </c>
      <c r="K193" s="21">
        <f t="shared" si="2"/>
        <v>432073.10515600001</v>
      </c>
      <c r="L193" s="16" t="s">
        <v>92</v>
      </c>
      <c r="M193" s="11" t="s">
        <v>90</v>
      </c>
      <c r="N193" s="35" t="s">
        <v>92</v>
      </c>
    </row>
    <row r="194" spans="1:14" x14ac:dyDescent="0.3">
      <c r="A194" s="16" t="s">
        <v>26</v>
      </c>
      <c r="B194" s="16" t="s">
        <v>12</v>
      </c>
      <c r="C194" s="11">
        <v>75866</v>
      </c>
      <c r="D194" s="11">
        <v>206621</v>
      </c>
      <c r="E194" s="31">
        <v>46242</v>
      </c>
      <c r="F194" s="16" t="s">
        <v>88</v>
      </c>
      <c r="G194" s="22">
        <v>36004</v>
      </c>
      <c r="H194" s="33">
        <v>21.665465999999999</v>
      </c>
      <c r="I194" s="31">
        <v>46242</v>
      </c>
      <c r="J194" s="34">
        <v>0</v>
      </c>
      <c r="K194" s="21">
        <f t="shared" si="2"/>
        <v>780043.43786399998</v>
      </c>
      <c r="L194" s="16" t="s">
        <v>92</v>
      </c>
      <c r="M194" s="11" t="s">
        <v>90</v>
      </c>
      <c r="N194" s="35" t="s">
        <v>92</v>
      </c>
    </row>
    <row r="195" spans="1:14" x14ac:dyDescent="0.3">
      <c r="A195" s="16" t="s">
        <v>26</v>
      </c>
      <c r="B195" s="16" t="s">
        <v>12</v>
      </c>
      <c r="C195" s="11">
        <v>75989</v>
      </c>
      <c r="D195" s="11">
        <v>206840</v>
      </c>
      <c r="E195" s="31">
        <v>46244</v>
      </c>
      <c r="F195" s="16" t="s">
        <v>88</v>
      </c>
      <c r="G195" s="22">
        <v>29893</v>
      </c>
      <c r="H195" s="33">
        <v>21.665465999999999</v>
      </c>
      <c r="I195" s="31">
        <v>46244</v>
      </c>
      <c r="J195" s="34">
        <v>0</v>
      </c>
      <c r="K195" s="21">
        <f t="shared" si="2"/>
        <v>647645.77513799991</v>
      </c>
      <c r="L195" s="16" t="s">
        <v>92</v>
      </c>
      <c r="M195" s="11" t="s">
        <v>90</v>
      </c>
      <c r="N195" s="35" t="s">
        <v>92</v>
      </c>
    </row>
    <row r="196" spans="1:14" x14ac:dyDescent="0.3">
      <c r="A196" s="16" t="s">
        <v>26</v>
      </c>
      <c r="B196" s="16" t="s">
        <v>12</v>
      </c>
      <c r="C196" s="11">
        <v>76226</v>
      </c>
      <c r="D196" s="11">
        <v>207210</v>
      </c>
      <c r="E196" s="31">
        <v>46248</v>
      </c>
      <c r="F196" s="16" t="s">
        <v>88</v>
      </c>
      <c r="G196" s="22">
        <v>29934</v>
      </c>
      <c r="H196" s="33">
        <v>22.225811</v>
      </c>
      <c r="I196" s="31">
        <v>46248</v>
      </c>
      <c r="J196" s="34">
        <v>0</v>
      </c>
      <c r="K196" s="21">
        <f t="shared" si="2"/>
        <v>665307.42647399998</v>
      </c>
      <c r="L196" s="16" t="s">
        <v>92</v>
      </c>
      <c r="M196" s="11" t="s">
        <v>90</v>
      </c>
      <c r="N196" s="35" t="s">
        <v>92</v>
      </c>
    </row>
    <row r="197" spans="1:14" x14ac:dyDescent="0.3">
      <c r="A197" s="16" t="s">
        <v>26</v>
      </c>
      <c r="B197" s="16" t="s">
        <v>12</v>
      </c>
      <c r="C197" s="11">
        <v>76390</v>
      </c>
      <c r="D197" s="11">
        <v>207479</v>
      </c>
      <c r="E197" s="31">
        <v>46252</v>
      </c>
      <c r="F197" s="16" t="s">
        <v>88</v>
      </c>
      <c r="G197" s="22">
        <v>10117</v>
      </c>
      <c r="H197" s="33">
        <v>22.224011000000001</v>
      </c>
      <c r="I197" s="31">
        <v>46252</v>
      </c>
      <c r="J197" s="34">
        <v>0</v>
      </c>
      <c r="K197" s="21">
        <f t="shared" ref="K197:K260" si="3">G197*H197</f>
        <v>224840.31928700002</v>
      </c>
      <c r="L197" s="16" t="s">
        <v>92</v>
      </c>
      <c r="M197" s="11" t="s">
        <v>90</v>
      </c>
      <c r="N197" s="35" t="s">
        <v>92</v>
      </c>
    </row>
    <row r="198" spans="1:14" x14ac:dyDescent="0.3">
      <c r="A198" s="16" t="s">
        <v>26</v>
      </c>
      <c r="B198" s="16" t="s">
        <v>12</v>
      </c>
      <c r="C198" s="11">
        <v>76551</v>
      </c>
      <c r="D198" s="11">
        <v>207684</v>
      </c>
      <c r="E198" s="31">
        <v>46254</v>
      </c>
      <c r="F198" s="16" t="s">
        <v>88</v>
      </c>
      <c r="G198" s="22">
        <v>10064</v>
      </c>
      <c r="H198" s="33">
        <v>22.224412999999998</v>
      </c>
      <c r="I198" s="31">
        <v>46254</v>
      </c>
      <c r="J198" s="34">
        <v>0</v>
      </c>
      <c r="K198" s="21">
        <f t="shared" si="3"/>
        <v>223666.49243199997</v>
      </c>
      <c r="L198" s="16" t="s">
        <v>92</v>
      </c>
      <c r="M198" s="11" t="s">
        <v>90</v>
      </c>
      <c r="N198" s="35" t="s">
        <v>92</v>
      </c>
    </row>
    <row r="199" spans="1:14" x14ac:dyDescent="0.3">
      <c r="A199" s="16" t="s">
        <v>26</v>
      </c>
      <c r="B199" s="16" t="s">
        <v>12</v>
      </c>
      <c r="C199" s="11">
        <v>76552</v>
      </c>
      <c r="D199" s="11">
        <v>207685</v>
      </c>
      <c r="E199" s="31">
        <v>46254</v>
      </c>
      <c r="F199" s="16" t="s">
        <v>88</v>
      </c>
      <c r="G199" s="22">
        <v>19823</v>
      </c>
      <c r="H199" s="33">
        <v>22.224412999999998</v>
      </c>
      <c r="I199" s="31">
        <v>46254</v>
      </c>
      <c r="J199" s="34">
        <v>0</v>
      </c>
      <c r="K199" s="21">
        <f t="shared" si="3"/>
        <v>440554.53889899998</v>
      </c>
      <c r="L199" s="16" t="s">
        <v>92</v>
      </c>
      <c r="M199" s="11" t="s">
        <v>90</v>
      </c>
      <c r="N199" s="35" t="s">
        <v>92</v>
      </c>
    </row>
    <row r="200" spans="1:14" x14ac:dyDescent="0.3">
      <c r="A200" s="16" t="s">
        <v>26</v>
      </c>
      <c r="B200" s="16" t="s">
        <v>12</v>
      </c>
      <c r="C200" s="11">
        <v>76663</v>
      </c>
      <c r="D200" s="11">
        <v>207847</v>
      </c>
      <c r="E200" s="31">
        <v>46256</v>
      </c>
      <c r="F200" s="16" t="s">
        <v>88</v>
      </c>
      <c r="G200" s="22">
        <v>29937</v>
      </c>
      <c r="H200" s="33">
        <v>22.138206</v>
      </c>
      <c r="I200" s="31">
        <v>46256</v>
      </c>
      <c r="J200" s="34">
        <v>0</v>
      </c>
      <c r="K200" s="21">
        <f t="shared" si="3"/>
        <v>662751.47302200005</v>
      </c>
      <c r="L200" s="16" t="s">
        <v>92</v>
      </c>
      <c r="M200" s="11" t="s">
        <v>90</v>
      </c>
      <c r="N200" s="35" t="s">
        <v>92</v>
      </c>
    </row>
    <row r="201" spans="1:14" x14ac:dyDescent="0.3">
      <c r="A201" s="16" t="s">
        <v>26</v>
      </c>
      <c r="B201" s="16" t="s">
        <v>12</v>
      </c>
      <c r="C201" s="11">
        <v>76861</v>
      </c>
      <c r="D201" s="11">
        <v>208006</v>
      </c>
      <c r="E201" s="31">
        <v>46259</v>
      </c>
      <c r="F201" s="16" t="s">
        <v>88</v>
      </c>
      <c r="G201" s="22">
        <v>10123</v>
      </c>
      <c r="H201" s="33">
        <v>21.788734000000002</v>
      </c>
      <c r="I201" s="31">
        <v>46259</v>
      </c>
      <c r="J201" s="34">
        <v>0</v>
      </c>
      <c r="K201" s="21">
        <f t="shared" si="3"/>
        <v>220567.35428200001</v>
      </c>
      <c r="L201" s="16" t="s">
        <v>92</v>
      </c>
      <c r="M201" s="11" t="s">
        <v>90</v>
      </c>
      <c r="N201" s="35" t="s">
        <v>92</v>
      </c>
    </row>
    <row r="202" spans="1:14" x14ac:dyDescent="0.3">
      <c r="A202" s="16" t="s">
        <v>26</v>
      </c>
      <c r="B202" s="16" t="s">
        <v>12</v>
      </c>
      <c r="C202" s="11">
        <v>76866</v>
      </c>
      <c r="D202" s="11">
        <v>208170</v>
      </c>
      <c r="E202" s="31">
        <v>46260</v>
      </c>
      <c r="F202" s="16" t="s">
        <v>88</v>
      </c>
      <c r="G202" s="22">
        <v>29936</v>
      </c>
      <c r="H202" s="33">
        <v>21.788734000000002</v>
      </c>
      <c r="I202" s="31">
        <v>46260</v>
      </c>
      <c r="J202" s="34">
        <v>0</v>
      </c>
      <c r="K202" s="21">
        <f t="shared" si="3"/>
        <v>652267.54102400003</v>
      </c>
      <c r="L202" s="16" t="s">
        <v>92</v>
      </c>
      <c r="M202" s="11" t="s">
        <v>90</v>
      </c>
      <c r="N202" s="35" t="s">
        <v>92</v>
      </c>
    </row>
    <row r="203" spans="1:14" x14ac:dyDescent="0.3">
      <c r="A203" s="16" t="s">
        <v>26</v>
      </c>
      <c r="B203" s="16" t="s">
        <v>12</v>
      </c>
      <c r="C203" s="11">
        <v>77066</v>
      </c>
      <c r="D203" s="11">
        <v>208487</v>
      </c>
      <c r="E203" s="31">
        <v>46263</v>
      </c>
      <c r="F203" s="16" t="s">
        <v>88</v>
      </c>
      <c r="G203" s="22">
        <v>30099</v>
      </c>
      <c r="H203" s="33">
        <v>21.788734000000002</v>
      </c>
      <c r="I203" s="31">
        <v>46263</v>
      </c>
      <c r="J203" s="34">
        <v>0</v>
      </c>
      <c r="K203" s="21">
        <f t="shared" si="3"/>
        <v>655819.104666</v>
      </c>
      <c r="L203" s="16" t="s">
        <v>92</v>
      </c>
      <c r="M203" s="11" t="s">
        <v>90</v>
      </c>
      <c r="N203" s="35" t="s">
        <v>92</v>
      </c>
    </row>
    <row r="204" spans="1:14" x14ac:dyDescent="0.3">
      <c r="A204" s="16" t="s">
        <v>26</v>
      </c>
      <c r="B204" s="16" t="s">
        <v>11</v>
      </c>
      <c r="C204" s="11">
        <v>75991</v>
      </c>
      <c r="D204" s="11">
        <v>206845</v>
      </c>
      <c r="E204" s="31">
        <v>46244</v>
      </c>
      <c r="F204" s="16" t="s">
        <v>88</v>
      </c>
      <c r="G204" s="22">
        <v>19811</v>
      </c>
      <c r="H204" s="33">
        <v>22.406872</v>
      </c>
      <c r="I204" s="31">
        <v>46244</v>
      </c>
      <c r="J204" s="34">
        <v>0</v>
      </c>
      <c r="K204" s="21">
        <f t="shared" si="3"/>
        <v>443902.54119199998</v>
      </c>
      <c r="L204" s="16" t="s">
        <v>92</v>
      </c>
      <c r="M204" s="11" t="s">
        <v>90</v>
      </c>
      <c r="N204" s="35" t="s">
        <v>92</v>
      </c>
    </row>
    <row r="205" spans="1:14" x14ac:dyDescent="0.3">
      <c r="A205" s="16" t="s">
        <v>26</v>
      </c>
      <c r="B205" s="16" t="s">
        <v>11</v>
      </c>
      <c r="C205" s="11">
        <v>76389</v>
      </c>
      <c r="D205" s="11">
        <v>207480</v>
      </c>
      <c r="E205" s="31">
        <v>46252</v>
      </c>
      <c r="F205" s="16" t="s">
        <v>88</v>
      </c>
      <c r="G205" s="22">
        <v>20083</v>
      </c>
      <c r="H205" s="33">
        <v>22.656748</v>
      </c>
      <c r="I205" s="31">
        <v>46252</v>
      </c>
      <c r="J205" s="34">
        <v>0</v>
      </c>
      <c r="K205" s="21">
        <f t="shared" si="3"/>
        <v>455015.47008400003</v>
      </c>
      <c r="L205" s="16" t="s">
        <v>92</v>
      </c>
      <c r="M205" s="11" t="s">
        <v>90</v>
      </c>
      <c r="N205" s="35" t="s">
        <v>92</v>
      </c>
    </row>
    <row r="206" spans="1:14" x14ac:dyDescent="0.3">
      <c r="A206" s="16" t="s">
        <v>26</v>
      </c>
      <c r="B206" s="16" t="s">
        <v>10</v>
      </c>
      <c r="C206" s="11">
        <v>75474</v>
      </c>
      <c r="D206" s="11">
        <v>205798</v>
      </c>
      <c r="E206" s="31">
        <v>46235</v>
      </c>
      <c r="F206" s="16" t="s">
        <v>88</v>
      </c>
      <c r="G206" s="22">
        <v>30199</v>
      </c>
      <c r="H206" s="33">
        <v>19.200053</v>
      </c>
      <c r="I206" s="31"/>
      <c r="J206" s="34"/>
      <c r="K206" s="21">
        <f t="shared" si="3"/>
        <v>579822.400547</v>
      </c>
      <c r="L206" s="16" t="s">
        <v>97</v>
      </c>
      <c r="M206" s="11" t="s">
        <v>98</v>
      </c>
      <c r="N206" s="35" t="s">
        <v>97</v>
      </c>
    </row>
    <row r="207" spans="1:14" x14ac:dyDescent="0.3">
      <c r="A207" s="16" t="s">
        <v>26</v>
      </c>
      <c r="B207" s="16" t="s">
        <v>10</v>
      </c>
      <c r="C207" s="11">
        <v>75724</v>
      </c>
      <c r="D207" s="11">
        <v>206280</v>
      </c>
      <c r="E207" s="31">
        <v>46239</v>
      </c>
      <c r="F207" s="16" t="s">
        <v>88</v>
      </c>
      <c r="G207" s="22">
        <v>19740</v>
      </c>
      <c r="H207" s="33">
        <v>18.833385</v>
      </c>
      <c r="I207" s="31">
        <v>46239</v>
      </c>
      <c r="J207" s="34">
        <v>0</v>
      </c>
      <c r="K207" s="21">
        <f t="shared" si="3"/>
        <v>371771.01990000001</v>
      </c>
      <c r="L207" s="16" t="s">
        <v>92</v>
      </c>
      <c r="M207" s="11" t="s">
        <v>90</v>
      </c>
      <c r="N207" s="35" t="s">
        <v>92</v>
      </c>
    </row>
    <row r="208" spans="1:14" x14ac:dyDescent="0.3">
      <c r="A208" s="16" t="s">
        <v>26</v>
      </c>
      <c r="B208" s="16" t="s">
        <v>10</v>
      </c>
      <c r="C208" s="11">
        <v>75725</v>
      </c>
      <c r="D208" s="11">
        <v>206279</v>
      </c>
      <c r="E208" s="31">
        <v>46239</v>
      </c>
      <c r="F208" s="16" t="s">
        <v>88</v>
      </c>
      <c r="G208" s="22">
        <v>10025</v>
      </c>
      <c r="H208" s="33">
        <v>18.833385</v>
      </c>
      <c r="I208" s="31">
        <v>46239</v>
      </c>
      <c r="J208" s="34">
        <v>0</v>
      </c>
      <c r="K208" s="21">
        <f t="shared" si="3"/>
        <v>188804.68462499999</v>
      </c>
      <c r="L208" s="16" t="s">
        <v>92</v>
      </c>
      <c r="M208" s="11" t="s">
        <v>90</v>
      </c>
      <c r="N208" s="35" t="s">
        <v>92</v>
      </c>
    </row>
    <row r="209" spans="1:14" x14ac:dyDescent="0.3">
      <c r="A209" s="16" t="s">
        <v>26</v>
      </c>
      <c r="B209" s="16" t="s">
        <v>10</v>
      </c>
      <c r="C209" s="11">
        <v>75867</v>
      </c>
      <c r="D209" s="11">
        <v>206622</v>
      </c>
      <c r="E209" s="31">
        <v>46242</v>
      </c>
      <c r="F209" s="16" t="s">
        <v>88</v>
      </c>
      <c r="G209" s="22">
        <v>10136</v>
      </c>
      <c r="H209" s="33">
        <v>18.918289000000001</v>
      </c>
      <c r="I209" s="31">
        <v>46242</v>
      </c>
      <c r="J209" s="34">
        <v>0</v>
      </c>
      <c r="K209" s="21">
        <f t="shared" si="3"/>
        <v>191755.77730400002</v>
      </c>
      <c r="L209" s="16" t="s">
        <v>92</v>
      </c>
      <c r="M209" s="11" t="s">
        <v>90</v>
      </c>
      <c r="N209" s="35" t="s">
        <v>92</v>
      </c>
    </row>
    <row r="210" spans="1:14" x14ac:dyDescent="0.3">
      <c r="A210" s="16" t="s">
        <v>26</v>
      </c>
      <c r="B210" s="16" t="s">
        <v>10</v>
      </c>
      <c r="C210" s="11">
        <v>75868</v>
      </c>
      <c r="D210" s="11">
        <v>206623</v>
      </c>
      <c r="E210" s="31">
        <v>46242</v>
      </c>
      <c r="F210" s="16" t="s">
        <v>88</v>
      </c>
      <c r="G210" s="22">
        <v>19911</v>
      </c>
      <c r="H210" s="33">
        <v>18.918289000000001</v>
      </c>
      <c r="I210" s="31">
        <v>46242</v>
      </c>
      <c r="J210" s="34">
        <v>0</v>
      </c>
      <c r="K210" s="21">
        <f t="shared" si="3"/>
        <v>376682.05227900005</v>
      </c>
      <c r="L210" s="16" t="s">
        <v>92</v>
      </c>
      <c r="M210" s="11" t="s">
        <v>90</v>
      </c>
      <c r="N210" s="35" t="s">
        <v>92</v>
      </c>
    </row>
    <row r="211" spans="1:14" x14ac:dyDescent="0.3">
      <c r="A211" s="16" t="s">
        <v>26</v>
      </c>
      <c r="B211" s="16" t="s">
        <v>10</v>
      </c>
      <c r="C211" s="11">
        <v>75990</v>
      </c>
      <c r="D211" s="11">
        <v>206844</v>
      </c>
      <c r="E211" s="31">
        <v>46244</v>
      </c>
      <c r="F211" s="16" t="s">
        <v>88</v>
      </c>
      <c r="G211" s="22">
        <v>10056</v>
      </c>
      <c r="H211" s="33">
        <v>18.918289000000001</v>
      </c>
      <c r="I211" s="31">
        <v>46244</v>
      </c>
      <c r="J211" s="34">
        <v>0</v>
      </c>
      <c r="K211" s="21">
        <f t="shared" si="3"/>
        <v>190242.31418400002</v>
      </c>
      <c r="L211" s="16" t="s">
        <v>92</v>
      </c>
      <c r="M211" s="11" t="s">
        <v>90</v>
      </c>
      <c r="N211" s="35" t="s">
        <v>92</v>
      </c>
    </row>
    <row r="212" spans="1:14" x14ac:dyDescent="0.3">
      <c r="A212" s="16" t="s">
        <v>26</v>
      </c>
      <c r="B212" s="16" t="s">
        <v>10</v>
      </c>
      <c r="C212" s="11">
        <v>76106</v>
      </c>
      <c r="D212" s="11">
        <v>207034</v>
      </c>
      <c r="E212" s="31">
        <v>46246</v>
      </c>
      <c r="F212" s="16" t="s">
        <v>88</v>
      </c>
      <c r="G212" s="22">
        <v>10104</v>
      </c>
      <c r="H212" s="33">
        <v>19.176909999999999</v>
      </c>
      <c r="I212" s="31">
        <v>46246</v>
      </c>
      <c r="J212" s="34">
        <v>0</v>
      </c>
      <c r="K212" s="21">
        <f t="shared" si="3"/>
        <v>193763.49864000001</v>
      </c>
      <c r="L212" s="16" t="s">
        <v>92</v>
      </c>
      <c r="M212" s="11" t="s">
        <v>90</v>
      </c>
      <c r="N212" s="35" t="s">
        <v>92</v>
      </c>
    </row>
    <row r="213" spans="1:14" x14ac:dyDescent="0.3">
      <c r="A213" s="16" t="s">
        <v>26</v>
      </c>
      <c r="B213" s="16" t="s">
        <v>10</v>
      </c>
      <c r="C213" s="11">
        <v>76107</v>
      </c>
      <c r="D213" s="11">
        <v>207035</v>
      </c>
      <c r="E213" s="31">
        <v>46246</v>
      </c>
      <c r="F213" s="16" t="s">
        <v>88</v>
      </c>
      <c r="G213" s="22">
        <v>19883</v>
      </c>
      <c r="H213" s="33">
        <v>19.176909999999999</v>
      </c>
      <c r="I213" s="31">
        <v>46246</v>
      </c>
      <c r="J213" s="34">
        <v>0</v>
      </c>
      <c r="K213" s="21">
        <f t="shared" si="3"/>
        <v>381294.50153000001</v>
      </c>
      <c r="L213" s="16" t="s">
        <v>92</v>
      </c>
      <c r="M213" s="11" t="s">
        <v>90</v>
      </c>
      <c r="N213" s="35" t="s">
        <v>92</v>
      </c>
    </row>
    <row r="214" spans="1:14" x14ac:dyDescent="0.3">
      <c r="A214" s="16" t="s">
        <v>26</v>
      </c>
      <c r="B214" s="16" t="s">
        <v>10</v>
      </c>
      <c r="C214" s="11">
        <v>76227</v>
      </c>
      <c r="D214" s="11">
        <v>207259</v>
      </c>
      <c r="E214" s="31">
        <v>46249</v>
      </c>
      <c r="F214" s="16" t="s">
        <v>88</v>
      </c>
      <c r="G214" s="22">
        <v>10132</v>
      </c>
      <c r="H214" s="33">
        <v>19.176909999999999</v>
      </c>
      <c r="I214" s="31">
        <v>46249</v>
      </c>
      <c r="J214" s="34">
        <v>0</v>
      </c>
      <c r="K214" s="21">
        <f t="shared" si="3"/>
        <v>194300.45212</v>
      </c>
      <c r="L214" s="16" t="s">
        <v>92</v>
      </c>
      <c r="M214" s="11" t="s">
        <v>90</v>
      </c>
      <c r="N214" s="35" t="s">
        <v>92</v>
      </c>
    </row>
    <row r="215" spans="1:14" x14ac:dyDescent="0.3">
      <c r="A215" s="16" t="s">
        <v>26</v>
      </c>
      <c r="B215" s="16" t="s">
        <v>10</v>
      </c>
      <c r="C215" s="11">
        <v>76228</v>
      </c>
      <c r="D215" s="11">
        <v>207260</v>
      </c>
      <c r="E215" s="31">
        <v>46249</v>
      </c>
      <c r="F215" s="16" t="s">
        <v>88</v>
      </c>
      <c r="G215" s="22">
        <v>19875</v>
      </c>
      <c r="H215" s="33">
        <v>19.176909999999999</v>
      </c>
      <c r="I215" s="31">
        <v>46249</v>
      </c>
      <c r="J215" s="34">
        <v>0</v>
      </c>
      <c r="K215" s="21">
        <f t="shared" si="3"/>
        <v>381141.08624999999</v>
      </c>
      <c r="L215" s="16" t="s">
        <v>92</v>
      </c>
      <c r="M215" s="11" t="s">
        <v>90</v>
      </c>
      <c r="N215" s="35" t="s">
        <v>92</v>
      </c>
    </row>
    <row r="216" spans="1:14" x14ac:dyDescent="0.3">
      <c r="A216" s="16" t="s">
        <v>26</v>
      </c>
      <c r="B216" s="16" t="s">
        <v>10</v>
      </c>
      <c r="C216" s="11">
        <v>76419</v>
      </c>
      <c r="D216" s="11">
        <v>207589</v>
      </c>
      <c r="E216" s="31">
        <v>46253</v>
      </c>
      <c r="F216" s="16" t="s">
        <v>88</v>
      </c>
      <c r="G216" s="22">
        <v>10096</v>
      </c>
      <c r="H216" s="33">
        <v>19.176909999999999</v>
      </c>
      <c r="I216" s="31">
        <v>46253</v>
      </c>
      <c r="J216" s="34">
        <v>0</v>
      </c>
      <c r="K216" s="21">
        <f t="shared" si="3"/>
        <v>193610.08335999999</v>
      </c>
      <c r="L216" s="16" t="s">
        <v>92</v>
      </c>
      <c r="M216" s="11" t="s">
        <v>90</v>
      </c>
      <c r="N216" s="35" t="s">
        <v>92</v>
      </c>
    </row>
    <row r="217" spans="1:14" x14ac:dyDescent="0.3">
      <c r="A217" s="16" t="s">
        <v>26</v>
      </c>
      <c r="B217" s="16" t="s">
        <v>10</v>
      </c>
      <c r="C217" s="11">
        <v>76420</v>
      </c>
      <c r="D217" s="11">
        <v>207590</v>
      </c>
      <c r="E217" s="31">
        <v>46253</v>
      </c>
      <c r="F217" s="16" t="s">
        <v>88</v>
      </c>
      <c r="G217" s="22">
        <v>19856</v>
      </c>
      <c r="H217" s="33">
        <v>19.176909999999999</v>
      </c>
      <c r="I217" s="31">
        <v>46253</v>
      </c>
      <c r="J217" s="34">
        <v>0</v>
      </c>
      <c r="K217" s="21">
        <f t="shared" si="3"/>
        <v>380776.72495999996</v>
      </c>
      <c r="L217" s="16" t="s">
        <v>92</v>
      </c>
      <c r="M217" s="11" t="s">
        <v>90</v>
      </c>
      <c r="N217" s="35" t="s">
        <v>92</v>
      </c>
    </row>
    <row r="218" spans="1:14" x14ac:dyDescent="0.3">
      <c r="A218" s="16" t="s">
        <v>26</v>
      </c>
      <c r="B218" s="16" t="s">
        <v>10</v>
      </c>
      <c r="C218" s="11">
        <v>76604</v>
      </c>
      <c r="D218" s="11">
        <v>207773</v>
      </c>
      <c r="E218" s="31">
        <v>46255</v>
      </c>
      <c r="F218" s="16" t="s">
        <v>88</v>
      </c>
      <c r="G218" s="22">
        <v>10082</v>
      </c>
      <c r="H218" s="33">
        <v>19.176909999999999</v>
      </c>
      <c r="I218" s="31">
        <v>46255</v>
      </c>
      <c r="J218" s="34">
        <v>0</v>
      </c>
      <c r="K218" s="21">
        <f t="shared" si="3"/>
        <v>193341.60662000001</v>
      </c>
      <c r="L218" s="16" t="s">
        <v>92</v>
      </c>
      <c r="M218" s="11" t="s">
        <v>90</v>
      </c>
      <c r="N218" s="35" t="s">
        <v>92</v>
      </c>
    </row>
    <row r="219" spans="1:14" x14ac:dyDescent="0.3">
      <c r="A219" s="16" t="s">
        <v>26</v>
      </c>
      <c r="B219" s="16" t="s">
        <v>10</v>
      </c>
      <c r="C219" s="11">
        <v>76605</v>
      </c>
      <c r="D219" s="11">
        <v>207774</v>
      </c>
      <c r="E219" s="31">
        <v>46255</v>
      </c>
      <c r="F219" s="16" t="s">
        <v>88</v>
      </c>
      <c r="G219" s="22">
        <v>19829</v>
      </c>
      <c r="H219" s="33">
        <v>19.176909999999999</v>
      </c>
      <c r="I219" s="31">
        <v>46255</v>
      </c>
      <c r="J219" s="34">
        <v>0</v>
      </c>
      <c r="K219" s="21">
        <f t="shared" si="3"/>
        <v>380258.94838999998</v>
      </c>
      <c r="L219" s="16" t="s">
        <v>92</v>
      </c>
      <c r="M219" s="11" t="s">
        <v>90</v>
      </c>
      <c r="N219" s="35" t="s">
        <v>92</v>
      </c>
    </row>
    <row r="220" spans="1:14" x14ac:dyDescent="0.3">
      <c r="A220" s="16" t="s">
        <v>26</v>
      </c>
      <c r="B220" s="16" t="s">
        <v>10</v>
      </c>
      <c r="C220" s="11">
        <v>76664</v>
      </c>
      <c r="D220" s="11">
        <v>207848</v>
      </c>
      <c r="E220" s="31">
        <v>46256</v>
      </c>
      <c r="F220" s="16" t="s">
        <v>88</v>
      </c>
      <c r="G220" s="22">
        <v>29919</v>
      </c>
      <c r="H220" s="33">
        <v>19.176909999999999</v>
      </c>
      <c r="I220" s="31">
        <v>46256</v>
      </c>
      <c r="J220" s="34">
        <v>0</v>
      </c>
      <c r="K220" s="21">
        <f t="shared" si="3"/>
        <v>573753.97028999997</v>
      </c>
      <c r="L220" s="16" t="s">
        <v>92</v>
      </c>
      <c r="M220" s="11" t="s">
        <v>90</v>
      </c>
      <c r="N220" s="35" t="s">
        <v>92</v>
      </c>
    </row>
    <row r="221" spans="1:14" x14ac:dyDescent="0.3">
      <c r="A221" s="16" t="s">
        <v>26</v>
      </c>
      <c r="B221" s="16" t="s">
        <v>10</v>
      </c>
      <c r="C221" s="11">
        <v>76860</v>
      </c>
      <c r="D221" s="11">
        <v>208007</v>
      </c>
      <c r="E221" s="31">
        <v>46259</v>
      </c>
      <c r="F221" s="16" t="s">
        <v>88</v>
      </c>
      <c r="G221" s="22">
        <v>20080</v>
      </c>
      <c r="H221" s="33">
        <v>19.176909999999999</v>
      </c>
      <c r="I221" s="31">
        <v>46259</v>
      </c>
      <c r="J221" s="34">
        <v>0</v>
      </c>
      <c r="K221" s="21">
        <f t="shared" si="3"/>
        <v>385072.35279999999</v>
      </c>
      <c r="L221" s="16" t="s">
        <v>92</v>
      </c>
      <c r="M221" s="11" t="s">
        <v>90</v>
      </c>
      <c r="N221" s="35" t="s">
        <v>92</v>
      </c>
    </row>
    <row r="222" spans="1:14" x14ac:dyDescent="0.3">
      <c r="A222" s="16" t="s">
        <v>26</v>
      </c>
      <c r="B222" s="16" t="s">
        <v>10</v>
      </c>
      <c r="C222" s="11">
        <v>76867</v>
      </c>
      <c r="D222" s="11">
        <v>208171</v>
      </c>
      <c r="E222" s="31">
        <v>46260</v>
      </c>
      <c r="F222" s="16" t="s">
        <v>88</v>
      </c>
      <c r="G222" s="22">
        <v>29911</v>
      </c>
      <c r="H222" s="33">
        <v>19.176909999999999</v>
      </c>
      <c r="I222" s="31">
        <v>46260</v>
      </c>
      <c r="J222" s="34">
        <v>0</v>
      </c>
      <c r="K222" s="21">
        <f t="shared" si="3"/>
        <v>573600.55501000001</v>
      </c>
      <c r="L222" s="16" t="s">
        <v>92</v>
      </c>
      <c r="M222" s="11" t="s">
        <v>90</v>
      </c>
      <c r="N222" s="35" t="s">
        <v>92</v>
      </c>
    </row>
    <row r="223" spans="1:14" x14ac:dyDescent="0.3">
      <c r="A223" s="16" t="s">
        <v>26</v>
      </c>
      <c r="B223" s="16" t="s">
        <v>10</v>
      </c>
      <c r="C223" s="11">
        <v>77067</v>
      </c>
      <c r="D223" s="11">
        <v>208488</v>
      </c>
      <c r="E223" s="31">
        <v>46263</v>
      </c>
      <c r="F223" s="16" t="s">
        <v>88</v>
      </c>
      <c r="G223" s="22">
        <v>30070</v>
      </c>
      <c r="H223" s="33">
        <v>19.176909999999999</v>
      </c>
      <c r="I223" s="31">
        <v>46263</v>
      </c>
      <c r="J223" s="34">
        <v>0</v>
      </c>
      <c r="K223" s="21">
        <f t="shared" si="3"/>
        <v>576649.68369999994</v>
      </c>
      <c r="L223" s="16" t="s">
        <v>92</v>
      </c>
      <c r="M223" s="11" t="s">
        <v>90</v>
      </c>
      <c r="N223" s="35" t="s">
        <v>92</v>
      </c>
    </row>
    <row r="224" spans="1:14" x14ac:dyDescent="0.3">
      <c r="A224" s="16" t="s">
        <v>27</v>
      </c>
      <c r="B224" s="16" t="s">
        <v>12</v>
      </c>
      <c r="C224" s="11">
        <v>75655</v>
      </c>
      <c r="D224" s="11">
        <v>206110</v>
      </c>
      <c r="E224" s="31">
        <v>46238</v>
      </c>
      <c r="F224" s="16" t="s">
        <v>88</v>
      </c>
      <c r="G224" s="22">
        <v>33369</v>
      </c>
      <c r="H224" s="33">
        <v>21.536145999999999</v>
      </c>
      <c r="I224" s="31"/>
      <c r="J224" s="34"/>
      <c r="K224" s="21">
        <f t="shared" si="3"/>
        <v>718639.65587399993</v>
      </c>
      <c r="L224" s="16" t="s">
        <v>89</v>
      </c>
      <c r="M224" s="11" t="s">
        <v>90</v>
      </c>
      <c r="N224" s="35" t="s">
        <v>89</v>
      </c>
    </row>
    <row r="225" spans="1:14" x14ac:dyDescent="0.3">
      <c r="A225" s="16" t="s">
        <v>27</v>
      </c>
      <c r="B225" s="16" t="s">
        <v>12</v>
      </c>
      <c r="C225" s="11">
        <v>75711</v>
      </c>
      <c r="D225" s="11">
        <v>206253</v>
      </c>
      <c r="E225" s="31">
        <v>46239</v>
      </c>
      <c r="F225" s="16" t="s">
        <v>88</v>
      </c>
      <c r="G225" s="22">
        <v>33339</v>
      </c>
      <c r="H225" s="33">
        <v>21.406845000000001</v>
      </c>
      <c r="I225" s="31"/>
      <c r="J225" s="34"/>
      <c r="K225" s="21">
        <f t="shared" si="3"/>
        <v>713682.80545500002</v>
      </c>
      <c r="L225" s="16" t="s">
        <v>89</v>
      </c>
      <c r="M225" s="11" t="s">
        <v>90</v>
      </c>
      <c r="N225" s="35" t="s">
        <v>89</v>
      </c>
    </row>
    <row r="226" spans="1:14" x14ac:dyDescent="0.3">
      <c r="A226" s="16" t="s">
        <v>27</v>
      </c>
      <c r="B226" s="16" t="s">
        <v>12</v>
      </c>
      <c r="C226" s="11">
        <v>75825</v>
      </c>
      <c r="D226" s="11">
        <v>206472</v>
      </c>
      <c r="E226" s="31">
        <v>46241</v>
      </c>
      <c r="F226" s="16" t="s">
        <v>88</v>
      </c>
      <c r="G226" s="22">
        <v>33485</v>
      </c>
      <c r="H226" s="33">
        <v>21.406845000000001</v>
      </c>
      <c r="I226" s="31"/>
      <c r="J226" s="34"/>
      <c r="K226" s="21">
        <f t="shared" si="3"/>
        <v>716808.20482500002</v>
      </c>
      <c r="L226" s="16" t="s">
        <v>89</v>
      </c>
      <c r="M226" s="11" t="s">
        <v>90</v>
      </c>
      <c r="N226" s="35" t="s">
        <v>89</v>
      </c>
    </row>
    <row r="227" spans="1:14" x14ac:dyDescent="0.3">
      <c r="A227" s="16" t="s">
        <v>27</v>
      </c>
      <c r="B227" s="16" t="s">
        <v>12</v>
      </c>
      <c r="C227" s="11">
        <v>75869</v>
      </c>
      <c r="D227" s="11">
        <v>206629</v>
      </c>
      <c r="E227" s="31">
        <v>46242</v>
      </c>
      <c r="F227" s="16" t="s">
        <v>88</v>
      </c>
      <c r="G227" s="22">
        <v>33464</v>
      </c>
      <c r="H227" s="33">
        <v>21.665465999999999</v>
      </c>
      <c r="I227" s="31"/>
      <c r="J227" s="34"/>
      <c r="K227" s="21">
        <f t="shared" si="3"/>
        <v>725013.15422399994</v>
      </c>
      <c r="L227" s="16" t="s">
        <v>89</v>
      </c>
      <c r="M227" s="11" t="s">
        <v>90</v>
      </c>
      <c r="N227" s="35" t="s">
        <v>89</v>
      </c>
    </row>
    <row r="228" spans="1:14" x14ac:dyDescent="0.3">
      <c r="A228" s="16" t="s">
        <v>27</v>
      </c>
      <c r="B228" s="16" t="s">
        <v>12</v>
      </c>
      <c r="C228" s="11">
        <v>75985</v>
      </c>
      <c r="D228" s="11">
        <v>206831</v>
      </c>
      <c r="E228" s="31">
        <v>46244</v>
      </c>
      <c r="F228" s="16" t="s">
        <v>88</v>
      </c>
      <c r="G228" s="22">
        <v>33366</v>
      </c>
      <c r="H228" s="33">
        <v>21.665465999999999</v>
      </c>
      <c r="I228" s="31"/>
      <c r="J228" s="34"/>
      <c r="K228" s="21">
        <f t="shared" si="3"/>
        <v>722889.93855600001</v>
      </c>
      <c r="L228" s="16" t="s">
        <v>89</v>
      </c>
      <c r="M228" s="11" t="s">
        <v>90</v>
      </c>
      <c r="N228" s="35" t="s">
        <v>89</v>
      </c>
    </row>
    <row r="229" spans="1:14" x14ac:dyDescent="0.3">
      <c r="A229" s="16" t="s">
        <v>27</v>
      </c>
      <c r="B229" s="16" t="s">
        <v>12</v>
      </c>
      <c r="C229" s="11">
        <v>76073</v>
      </c>
      <c r="D229" s="11">
        <v>206956</v>
      </c>
      <c r="E229" s="31">
        <v>46245</v>
      </c>
      <c r="F229" s="16" t="s">
        <v>88</v>
      </c>
      <c r="G229" s="22">
        <v>33473</v>
      </c>
      <c r="H229" s="33">
        <v>22.139603999999999</v>
      </c>
      <c r="I229" s="31"/>
      <c r="J229" s="34"/>
      <c r="K229" s="21">
        <f t="shared" si="3"/>
        <v>741078.96469199995</v>
      </c>
      <c r="L229" s="16" t="s">
        <v>89</v>
      </c>
      <c r="M229" s="11" t="s">
        <v>90</v>
      </c>
      <c r="N229" s="35" t="s">
        <v>89</v>
      </c>
    </row>
    <row r="230" spans="1:14" x14ac:dyDescent="0.3">
      <c r="A230" s="16" t="s">
        <v>27</v>
      </c>
      <c r="B230" s="16" t="s">
        <v>12</v>
      </c>
      <c r="C230" s="11">
        <v>76152</v>
      </c>
      <c r="D230" s="11">
        <v>207105</v>
      </c>
      <c r="E230" s="31">
        <v>46247</v>
      </c>
      <c r="F230" s="16" t="s">
        <v>88</v>
      </c>
      <c r="G230" s="22">
        <v>33561</v>
      </c>
      <c r="H230" s="33">
        <v>22.225811</v>
      </c>
      <c r="I230" s="31"/>
      <c r="J230" s="34"/>
      <c r="K230" s="21">
        <f t="shared" si="3"/>
        <v>745920.44297099998</v>
      </c>
      <c r="L230" s="16" t="s">
        <v>89</v>
      </c>
      <c r="M230" s="11" t="s">
        <v>90</v>
      </c>
      <c r="N230" s="35" t="s">
        <v>89</v>
      </c>
    </row>
    <row r="231" spans="1:14" x14ac:dyDescent="0.3">
      <c r="A231" s="16" t="s">
        <v>27</v>
      </c>
      <c r="B231" s="16" t="s">
        <v>12</v>
      </c>
      <c r="C231" s="11">
        <v>76229</v>
      </c>
      <c r="D231" s="11">
        <v>207273</v>
      </c>
      <c r="E231" s="31">
        <v>46249</v>
      </c>
      <c r="F231" s="16" t="s">
        <v>88</v>
      </c>
      <c r="G231" s="22">
        <v>33574</v>
      </c>
      <c r="H231" s="33">
        <v>22.120964000000001</v>
      </c>
      <c r="I231" s="31"/>
      <c r="J231" s="34"/>
      <c r="K231" s="21">
        <f t="shared" si="3"/>
        <v>742689.24533599999</v>
      </c>
      <c r="L231" s="16" t="s">
        <v>89</v>
      </c>
      <c r="M231" s="11" t="s">
        <v>90</v>
      </c>
      <c r="N231" s="35" t="s">
        <v>89</v>
      </c>
    </row>
    <row r="232" spans="1:14" x14ac:dyDescent="0.3">
      <c r="A232" s="16" t="s">
        <v>27</v>
      </c>
      <c r="B232" s="16" t="s">
        <v>12</v>
      </c>
      <c r="C232" s="11">
        <v>76411</v>
      </c>
      <c r="D232" s="11">
        <v>207508</v>
      </c>
      <c r="E232" s="31">
        <v>46252</v>
      </c>
      <c r="F232" s="16" t="s">
        <v>88</v>
      </c>
      <c r="G232" s="22">
        <v>29910</v>
      </c>
      <c r="H232" s="33">
        <v>22.224011000000001</v>
      </c>
      <c r="I232" s="31"/>
      <c r="J232" s="34"/>
      <c r="K232" s="21">
        <f t="shared" si="3"/>
        <v>664720.16901000007</v>
      </c>
      <c r="L232" s="16" t="s">
        <v>89</v>
      </c>
      <c r="M232" s="11" t="s">
        <v>90</v>
      </c>
      <c r="N232" s="35" t="s">
        <v>89</v>
      </c>
    </row>
    <row r="233" spans="1:14" x14ac:dyDescent="0.3">
      <c r="A233" s="16" t="s">
        <v>27</v>
      </c>
      <c r="B233" s="16" t="s">
        <v>12</v>
      </c>
      <c r="C233" s="11">
        <v>76532</v>
      </c>
      <c r="D233" s="11">
        <v>207660</v>
      </c>
      <c r="E233" s="31">
        <v>46254</v>
      </c>
      <c r="F233" s="16" t="s">
        <v>88</v>
      </c>
      <c r="G233" s="22">
        <v>35971</v>
      </c>
      <c r="H233" s="33">
        <v>22.224412999999998</v>
      </c>
      <c r="I233" s="31"/>
      <c r="J233" s="34"/>
      <c r="K233" s="21">
        <f t="shared" si="3"/>
        <v>799434.36002299993</v>
      </c>
      <c r="L233" s="16" t="s">
        <v>89</v>
      </c>
      <c r="M233" s="11" t="s">
        <v>90</v>
      </c>
      <c r="N233" s="35" t="s">
        <v>89</v>
      </c>
    </row>
    <row r="234" spans="1:14" x14ac:dyDescent="0.3">
      <c r="A234" s="16" t="s">
        <v>27</v>
      </c>
      <c r="B234" s="16" t="s">
        <v>12</v>
      </c>
      <c r="C234" s="11">
        <v>76541</v>
      </c>
      <c r="D234" s="11">
        <v>207676</v>
      </c>
      <c r="E234" s="31">
        <v>46254</v>
      </c>
      <c r="F234" s="16" t="s">
        <v>88</v>
      </c>
      <c r="G234" s="22">
        <v>35861</v>
      </c>
      <c r="H234" s="33">
        <v>22.224412999999998</v>
      </c>
      <c r="I234" s="31"/>
      <c r="J234" s="34"/>
      <c r="K234" s="21">
        <f t="shared" si="3"/>
        <v>796989.67459299997</v>
      </c>
      <c r="L234" s="16" t="s">
        <v>89</v>
      </c>
      <c r="M234" s="11" t="s">
        <v>90</v>
      </c>
      <c r="N234" s="35" t="s">
        <v>89</v>
      </c>
    </row>
    <row r="235" spans="1:14" x14ac:dyDescent="0.3">
      <c r="A235" s="16" t="s">
        <v>27</v>
      </c>
      <c r="B235" s="16" t="s">
        <v>12</v>
      </c>
      <c r="C235" s="11">
        <v>76662</v>
      </c>
      <c r="D235" s="11">
        <v>207846</v>
      </c>
      <c r="E235" s="31">
        <v>46256</v>
      </c>
      <c r="F235" s="16" t="s">
        <v>88</v>
      </c>
      <c r="G235" s="22">
        <v>33420</v>
      </c>
      <c r="H235" s="33">
        <v>22.138206</v>
      </c>
      <c r="I235" s="31"/>
      <c r="J235" s="34"/>
      <c r="K235" s="21">
        <f t="shared" si="3"/>
        <v>739858.84452000004</v>
      </c>
      <c r="L235" s="16" t="s">
        <v>89</v>
      </c>
      <c r="M235" s="11" t="s">
        <v>90</v>
      </c>
      <c r="N235" s="35" t="s">
        <v>89</v>
      </c>
    </row>
    <row r="236" spans="1:14" x14ac:dyDescent="0.3">
      <c r="A236" s="16" t="s">
        <v>27</v>
      </c>
      <c r="B236" s="16" t="s">
        <v>12</v>
      </c>
      <c r="C236" s="11">
        <v>76799</v>
      </c>
      <c r="D236" s="11">
        <v>208065</v>
      </c>
      <c r="E236" s="31">
        <v>46259</v>
      </c>
      <c r="F236" s="16" t="s">
        <v>88</v>
      </c>
      <c r="G236" s="22">
        <v>29958</v>
      </c>
      <c r="H236" s="33">
        <v>21.788734000000002</v>
      </c>
      <c r="I236" s="31"/>
      <c r="J236" s="34"/>
      <c r="K236" s="21">
        <f t="shared" si="3"/>
        <v>652746.89317200007</v>
      </c>
      <c r="L236" s="16" t="s">
        <v>89</v>
      </c>
      <c r="M236" s="11" t="s">
        <v>90</v>
      </c>
      <c r="N236" s="35" t="s">
        <v>89</v>
      </c>
    </row>
    <row r="237" spans="1:14" x14ac:dyDescent="0.3">
      <c r="A237" s="16" t="s">
        <v>27</v>
      </c>
      <c r="B237" s="16" t="s">
        <v>12</v>
      </c>
      <c r="C237" s="11">
        <v>76947</v>
      </c>
      <c r="D237" s="11">
        <v>208288</v>
      </c>
      <c r="E237" s="31">
        <v>46261</v>
      </c>
      <c r="F237" s="16" t="s">
        <v>88</v>
      </c>
      <c r="G237" s="22">
        <v>10095</v>
      </c>
      <c r="H237" s="33">
        <v>21.788734000000002</v>
      </c>
      <c r="I237" s="31"/>
      <c r="J237" s="34"/>
      <c r="K237" s="21">
        <f t="shared" si="3"/>
        <v>219957.26973000003</v>
      </c>
      <c r="L237" s="16" t="s">
        <v>89</v>
      </c>
      <c r="M237" s="11" t="s">
        <v>90</v>
      </c>
      <c r="N237" s="35" t="s">
        <v>89</v>
      </c>
    </row>
    <row r="238" spans="1:14" x14ac:dyDescent="0.3">
      <c r="A238" s="16" t="s">
        <v>27</v>
      </c>
      <c r="B238" s="16" t="s">
        <v>12</v>
      </c>
      <c r="C238" s="11">
        <v>76948</v>
      </c>
      <c r="D238" s="11">
        <v>208289</v>
      </c>
      <c r="E238" s="31">
        <v>46261</v>
      </c>
      <c r="F238" s="16" t="s">
        <v>88</v>
      </c>
      <c r="G238" s="22">
        <v>19863</v>
      </c>
      <c r="H238" s="33">
        <v>21.788734000000002</v>
      </c>
      <c r="I238" s="31"/>
      <c r="J238" s="34"/>
      <c r="K238" s="21">
        <f t="shared" si="3"/>
        <v>432789.62344200001</v>
      </c>
      <c r="L238" s="16" t="s">
        <v>89</v>
      </c>
      <c r="M238" s="11" t="s">
        <v>90</v>
      </c>
      <c r="N238" s="35" t="s">
        <v>89</v>
      </c>
    </row>
    <row r="239" spans="1:14" x14ac:dyDescent="0.3">
      <c r="A239" s="16" t="s">
        <v>27</v>
      </c>
      <c r="B239" s="16" t="s">
        <v>12</v>
      </c>
      <c r="C239" s="11">
        <v>77014</v>
      </c>
      <c r="D239" s="11">
        <v>208396</v>
      </c>
      <c r="E239" s="31">
        <v>46262</v>
      </c>
      <c r="F239" s="16" t="s">
        <v>88</v>
      </c>
      <c r="G239" s="22">
        <v>33394</v>
      </c>
      <c r="H239" s="33">
        <v>21.788734000000002</v>
      </c>
      <c r="I239" s="31"/>
      <c r="J239" s="34"/>
      <c r="K239" s="21">
        <f t="shared" si="3"/>
        <v>727612.9831960001</v>
      </c>
      <c r="L239" s="16" t="s">
        <v>89</v>
      </c>
      <c r="M239" s="11" t="s">
        <v>90</v>
      </c>
      <c r="N239" s="35" t="s">
        <v>89</v>
      </c>
    </row>
    <row r="240" spans="1:14" x14ac:dyDescent="0.3">
      <c r="A240" s="16" t="s">
        <v>27</v>
      </c>
      <c r="B240" s="16" t="s">
        <v>12</v>
      </c>
      <c r="C240" s="11">
        <v>77070</v>
      </c>
      <c r="D240" s="11">
        <v>208510</v>
      </c>
      <c r="E240" s="31">
        <v>46263</v>
      </c>
      <c r="F240" s="16" t="s">
        <v>88</v>
      </c>
      <c r="G240" s="22">
        <v>35946</v>
      </c>
      <c r="H240" s="33">
        <v>21.788734000000002</v>
      </c>
      <c r="I240" s="31"/>
      <c r="J240" s="34"/>
      <c r="K240" s="21">
        <f t="shared" si="3"/>
        <v>783217.83236400003</v>
      </c>
      <c r="L240" s="16" t="s">
        <v>89</v>
      </c>
      <c r="M240" s="11" t="s">
        <v>90</v>
      </c>
      <c r="N240" s="35" t="s">
        <v>89</v>
      </c>
    </row>
    <row r="241" spans="1:14" x14ac:dyDescent="0.3">
      <c r="A241" s="16" t="s">
        <v>27</v>
      </c>
      <c r="B241" s="16" t="s">
        <v>11</v>
      </c>
      <c r="C241" s="11">
        <v>75475</v>
      </c>
      <c r="D241" s="11">
        <v>205803</v>
      </c>
      <c r="E241" s="31">
        <v>46235</v>
      </c>
      <c r="F241" s="16" t="s">
        <v>88</v>
      </c>
      <c r="G241" s="22">
        <v>19949</v>
      </c>
      <c r="H241" s="33">
        <v>22.191714000000001</v>
      </c>
      <c r="I241" s="31"/>
      <c r="J241" s="34"/>
      <c r="K241" s="21">
        <f t="shared" si="3"/>
        <v>442702.50258600002</v>
      </c>
      <c r="L241" s="16" t="s">
        <v>89</v>
      </c>
      <c r="M241" s="11" t="s">
        <v>90</v>
      </c>
      <c r="N241" s="35" t="s">
        <v>89</v>
      </c>
    </row>
    <row r="242" spans="1:14" x14ac:dyDescent="0.3">
      <c r="A242" s="16" t="s">
        <v>27</v>
      </c>
      <c r="B242" s="16" t="s">
        <v>11</v>
      </c>
      <c r="C242" s="11">
        <v>75476</v>
      </c>
      <c r="D242" s="11">
        <v>205802</v>
      </c>
      <c r="E242" s="31">
        <v>46235</v>
      </c>
      <c r="F242" s="16" t="s">
        <v>88</v>
      </c>
      <c r="G242" s="22">
        <v>10161</v>
      </c>
      <c r="H242" s="33">
        <v>22.191714000000001</v>
      </c>
      <c r="I242" s="31"/>
      <c r="J242" s="34"/>
      <c r="K242" s="21">
        <f t="shared" si="3"/>
        <v>225490.00595400002</v>
      </c>
      <c r="L242" s="16" t="s">
        <v>89</v>
      </c>
      <c r="M242" s="11" t="s">
        <v>90</v>
      </c>
      <c r="N242" s="35" t="s">
        <v>89</v>
      </c>
    </row>
    <row r="243" spans="1:14" x14ac:dyDescent="0.3">
      <c r="A243" s="16" t="s">
        <v>27</v>
      </c>
      <c r="B243" s="16" t="s">
        <v>11</v>
      </c>
      <c r="C243" s="11">
        <v>76868</v>
      </c>
      <c r="D243" s="11">
        <v>208172</v>
      </c>
      <c r="E243" s="31">
        <v>46260</v>
      </c>
      <c r="F243" s="16" t="s">
        <v>88</v>
      </c>
      <c r="G243" s="22">
        <v>33425</v>
      </c>
      <c r="H243" s="33">
        <v>22.735292000000001</v>
      </c>
      <c r="I243" s="31"/>
      <c r="J243" s="34"/>
      <c r="K243" s="21">
        <f t="shared" si="3"/>
        <v>759927.13510000007</v>
      </c>
      <c r="L243" s="16" t="s">
        <v>89</v>
      </c>
      <c r="M243" s="11" t="s">
        <v>90</v>
      </c>
      <c r="N243" s="35" t="s">
        <v>89</v>
      </c>
    </row>
    <row r="244" spans="1:14" x14ac:dyDescent="0.3">
      <c r="A244" s="16" t="s">
        <v>27</v>
      </c>
      <c r="B244" s="16" t="s">
        <v>10</v>
      </c>
      <c r="C244" s="11">
        <v>75654</v>
      </c>
      <c r="D244" s="11">
        <v>206111</v>
      </c>
      <c r="E244" s="31">
        <v>46238</v>
      </c>
      <c r="F244" s="16" t="s">
        <v>88</v>
      </c>
      <c r="G244" s="22">
        <v>33315</v>
      </c>
      <c r="H244" s="33">
        <v>19.027639000000001</v>
      </c>
      <c r="I244" s="31"/>
      <c r="J244" s="34"/>
      <c r="K244" s="21">
        <f t="shared" si="3"/>
        <v>633905.79328500002</v>
      </c>
      <c r="L244" s="16" t="s">
        <v>89</v>
      </c>
      <c r="M244" s="11" t="s">
        <v>90</v>
      </c>
      <c r="N244" s="35" t="s">
        <v>89</v>
      </c>
    </row>
    <row r="245" spans="1:14" x14ac:dyDescent="0.3">
      <c r="A245" s="16" t="s">
        <v>27</v>
      </c>
      <c r="B245" s="16" t="s">
        <v>10</v>
      </c>
      <c r="C245" s="11">
        <v>75710</v>
      </c>
      <c r="D245" s="11">
        <v>206254</v>
      </c>
      <c r="E245" s="31">
        <v>46239</v>
      </c>
      <c r="F245" s="16" t="s">
        <v>88</v>
      </c>
      <c r="G245" s="22">
        <v>33352</v>
      </c>
      <c r="H245" s="33">
        <v>18.833385</v>
      </c>
      <c r="I245" s="31"/>
      <c r="J245" s="34"/>
      <c r="K245" s="21">
        <f t="shared" si="3"/>
        <v>628131.05651999998</v>
      </c>
      <c r="L245" s="16" t="s">
        <v>89</v>
      </c>
      <c r="M245" s="11" t="s">
        <v>90</v>
      </c>
      <c r="N245" s="35" t="s">
        <v>89</v>
      </c>
    </row>
    <row r="246" spans="1:14" x14ac:dyDescent="0.3">
      <c r="A246" s="16" t="s">
        <v>27</v>
      </c>
      <c r="B246" s="16" t="s">
        <v>10</v>
      </c>
      <c r="C246" s="11">
        <v>75984</v>
      </c>
      <c r="D246" s="11">
        <v>206832</v>
      </c>
      <c r="E246" s="31">
        <v>46244</v>
      </c>
      <c r="F246" s="16" t="s">
        <v>88</v>
      </c>
      <c r="G246" s="22">
        <v>33352</v>
      </c>
      <c r="H246" s="33">
        <v>18.918289000000001</v>
      </c>
      <c r="I246" s="31"/>
      <c r="J246" s="34"/>
      <c r="K246" s="21">
        <f t="shared" si="3"/>
        <v>630962.77472800005</v>
      </c>
      <c r="L246" s="16" t="s">
        <v>89</v>
      </c>
      <c r="M246" s="11" t="s">
        <v>90</v>
      </c>
      <c r="N246" s="35" t="s">
        <v>89</v>
      </c>
    </row>
    <row r="247" spans="1:14" x14ac:dyDescent="0.3">
      <c r="A247" s="16" t="s">
        <v>27</v>
      </c>
      <c r="B247" s="16" t="s">
        <v>10</v>
      </c>
      <c r="C247" s="11">
        <v>76074</v>
      </c>
      <c r="D247" s="11">
        <v>206957</v>
      </c>
      <c r="E247" s="31">
        <v>46245</v>
      </c>
      <c r="F247" s="16" t="s">
        <v>88</v>
      </c>
      <c r="G247" s="22">
        <v>33412</v>
      </c>
      <c r="H247" s="33">
        <v>19.176909999999999</v>
      </c>
      <c r="I247" s="31"/>
      <c r="J247" s="34"/>
      <c r="K247" s="21">
        <f t="shared" si="3"/>
        <v>640738.91691999999</v>
      </c>
      <c r="L247" s="16" t="s">
        <v>89</v>
      </c>
      <c r="M247" s="11" t="s">
        <v>90</v>
      </c>
      <c r="N247" s="35" t="s">
        <v>89</v>
      </c>
    </row>
    <row r="248" spans="1:14" x14ac:dyDescent="0.3">
      <c r="A248" s="16" t="s">
        <v>27</v>
      </c>
      <c r="B248" s="16" t="s">
        <v>10</v>
      </c>
      <c r="C248" s="11">
        <v>76151</v>
      </c>
      <c r="D248" s="11">
        <v>207106</v>
      </c>
      <c r="E248" s="31">
        <v>46247</v>
      </c>
      <c r="F248" s="16" t="s">
        <v>88</v>
      </c>
      <c r="G248" s="22">
        <v>33661</v>
      </c>
      <c r="H248" s="33">
        <v>19.176909999999999</v>
      </c>
      <c r="I248" s="31"/>
      <c r="J248" s="34"/>
      <c r="K248" s="21">
        <f t="shared" si="3"/>
        <v>645513.96750999999</v>
      </c>
      <c r="L248" s="16" t="s">
        <v>89</v>
      </c>
      <c r="M248" s="11" t="s">
        <v>90</v>
      </c>
      <c r="N248" s="35" t="s">
        <v>89</v>
      </c>
    </row>
    <row r="249" spans="1:14" x14ac:dyDescent="0.3">
      <c r="A249" s="16" t="s">
        <v>27</v>
      </c>
      <c r="B249" s="16" t="s">
        <v>10</v>
      </c>
      <c r="C249" s="11">
        <v>76410</v>
      </c>
      <c r="D249" s="11">
        <v>207509</v>
      </c>
      <c r="E249" s="31">
        <v>46252</v>
      </c>
      <c r="F249" s="16" t="s">
        <v>88</v>
      </c>
      <c r="G249" s="22">
        <v>29885</v>
      </c>
      <c r="H249" s="33">
        <v>19.176909999999999</v>
      </c>
      <c r="I249" s="31"/>
      <c r="J249" s="34"/>
      <c r="K249" s="21">
        <f t="shared" si="3"/>
        <v>573101.95534999995</v>
      </c>
      <c r="L249" s="16" t="s">
        <v>89</v>
      </c>
      <c r="M249" s="11" t="s">
        <v>90</v>
      </c>
      <c r="N249" s="35" t="s">
        <v>89</v>
      </c>
    </row>
    <row r="250" spans="1:14" x14ac:dyDescent="0.3">
      <c r="A250" s="16" t="s">
        <v>27</v>
      </c>
      <c r="B250" s="16" t="s">
        <v>10</v>
      </c>
      <c r="C250" s="11">
        <v>76601</v>
      </c>
      <c r="D250" s="11">
        <v>207764</v>
      </c>
      <c r="E250" s="31">
        <v>46255</v>
      </c>
      <c r="F250" s="16" t="s">
        <v>88</v>
      </c>
      <c r="G250" s="22">
        <v>33436</v>
      </c>
      <c r="H250" s="33">
        <v>19.176909999999999</v>
      </c>
      <c r="I250" s="31"/>
      <c r="J250" s="34"/>
      <c r="K250" s="21">
        <f t="shared" si="3"/>
        <v>641199.16275999998</v>
      </c>
      <c r="L250" s="16" t="s">
        <v>89</v>
      </c>
      <c r="M250" s="11" t="s">
        <v>90</v>
      </c>
      <c r="N250" s="35" t="s">
        <v>89</v>
      </c>
    </row>
    <row r="251" spans="1:14" x14ac:dyDescent="0.3">
      <c r="A251" s="16" t="s">
        <v>27</v>
      </c>
      <c r="B251" s="16" t="s">
        <v>10</v>
      </c>
      <c r="C251" s="11">
        <v>76798</v>
      </c>
      <c r="D251" s="11">
        <v>208066</v>
      </c>
      <c r="E251" s="31">
        <v>46259</v>
      </c>
      <c r="F251" s="16" t="s">
        <v>88</v>
      </c>
      <c r="G251" s="22">
        <v>29978</v>
      </c>
      <c r="H251" s="33">
        <v>19.176909999999999</v>
      </c>
      <c r="I251" s="31"/>
      <c r="J251" s="34"/>
      <c r="K251" s="21">
        <f t="shared" si="3"/>
        <v>574885.40798000002</v>
      </c>
      <c r="L251" s="16" t="s">
        <v>89</v>
      </c>
      <c r="M251" s="11" t="s">
        <v>90</v>
      </c>
      <c r="N251" s="35" t="s">
        <v>89</v>
      </c>
    </row>
    <row r="252" spans="1:14" x14ac:dyDescent="0.3">
      <c r="A252" s="16" t="s">
        <v>27</v>
      </c>
      <c r="B252" s="16" t="s">
        <v>10</v>
      </c>
      <c r="C252" s="11">
        <v>77013</v>
      </c>
      <c r="D252" s="11">
        <v>208397</v>
      </c>
      <c r="E252" s="31">
        <v>46262</v>
      </c>
      <c r="F252" s="16" t="s">
        <v>88</v>
      </c>
      <c r="G252" s="22">
        <v>33326</v>
      </c>
      <c r="H252" s="33">
        <v>19.176909999999999</v>
      </c>
      <c r="I252" s="31"/>
      <c r="J252" s="34"/>
      <c r="K252" s="21">
        <f t="shared" si="3"/>
        <v>639089.70265999995</v>
      </c>
      <c r="L252" s="16" t="s">
        <v>89</v>
      </c>
      <c r="M252" s="11" t="s">
        <v>90</v>
      </c>
      <c r="N252" s="35" t="s">
        <v>89</v>
      </c>
    </row>
    <row r="253" spans="1:14" x14ac:dyDescent="0.3">
      <c r="A253" s="16" t="s">
        <v>28</v>
      </c>
      <c r="B253" s="16" t="s">
        <v>12</v>
      </c>
      <c r="C253" s="11">
        <v>75826</v>
      </c>
      <c r="D253" s="11">
        <v>206475</v>
      </c>
      <c r="E253" s="31">
        <v>46241</v>
      </c>
      <c r="F253" s="16" t="s">
        <v>88</v>
      </c>
      <c r="G253" s="22">
        <v>10099</v>
      </c>
      <c r="H253" s="33">
        <v>21.246845</v>
      </c>
      <c r="I253" s="31"/>
      <c r="J253" s="34"/>
      <c r="K253" s="21">
        <f t="shared" si="3"/>
        <v>214571.887655</v>
      </c>
      <c r="L253" s="16" t="s">
        <v>89</v>
      </c>
      <c r="M253" s="11" t="s">
        <v>90</v>
      </c>
      <c r="N253" s="35" t="s">
        <v>89</v>
      </c>
    </row>
    <row r="254" spans="1:14" x14ac:dyDescent="0.3">
      <c r="A254" s="16" t="s">
        <v>28</v>
      </c>
      <c r="B254" s="16" t="s">
        <v>12</v>
      </c>
      <c r="C254" s="11">
        <v>75827</v>
      </c>
      <c r="D254" s="11">
        <v>206476</v>
      </c>
      <c r="E254" s="31">
        <v>46241</v>
      </c>
      <c r="F254" s="16" t="s">
        <v>88</v>
      </c>
      <c r="G254" s="22">
        <v>19867</v>
      </c>
      <c r="H254" s="33">
        <v>21.246845</v>
      </c>
      <c r="I254" s="31"/>
      <c r="J254" s="34"/>
      <c r="K254" s="21">
        <f t="shared" si="3"/>
        <v>422111.06961499999</v>
      </c>
      <c r="L254" s="16" t="s">
        <v>89</v>
      </c>
      <c r="M254" s="11" t="s">
        <v>90</v>
      </c>
      <c r="N254" s="35" t="s">
        <v>89</v>
      </c>
    </row>
    <row r="255" spans="1:14" x14ac:dyDescent="0.3">
      <c r="A255" s="16" t="s">
        <v>28</v>
      </c>
      <c r="B255" s="16" t="s">
        <v>12</v>
      </c>
      <c r="C255" s="11">
        <v>76886</v>
      </c>
      <c r="D255" s="11">
        <v>208200</v>
      </c>
      <c r="E255" s="31">
        <v>46260</v>
      </c>
      <c r="F255" s="16" t="s">
        <v>88</v>
      </c>
      <c r="G255" s="22">
        <v>10070</v>
      </c>
      <c r="H255" s="33">
        <v>21.628734000000001</v>
      </c>
      <c r="I255" s="31"/>
      <c r="J255" s="34"/>
      <c r="K255" s="21">
        <f t="shared" si="3"/>
        <v>217801.35138000001</v>
      </c>
      <c r="L255" s="16" t="s">
        <v>89</v>
      </c>
      <c r="M255" s="11" t="s">
        <v>90</v>
      </c>
      <c r="N255" s="35" t="s">
        <v>89</v>
      </c>
    </row>
    <row r="256" spans="1:14" x14ac:dyDescent="0.3">
      <c r="A256" s="16" t="s">
        <v>28</v>
      </c>
      <c r="B256" s="16" t="s">
        <v>12</v>
      </c>
      <c r="C256" s="11">
        <v>76887</v>
      </c>
      <c r="D256" s="11">
        <v>208201</v>
      </c>
      <c r="E256" s="31">
        <v>46260</v>
      </c>
      <c r="F256" s="16" t="s">
        <v>88</v>
      </c>
      <c r="G256" s="22">
        <v>19842</v>
      </c>
      <c r="H256" s="33">
        <v>21.628734000000001</v>
      </c>
      <c r="I256" s="31"/>
      <c r="J256" s="34"/>
      <c r="K256" s="21">
        <f t="shared" si="3"/>
        <v>429157.34002800001</v>
      </c>
      <c r="L256" s="16" t="s">
        <v>89</v>
      </c>
      <c r="M256" s="11" t="s">
        <v>90</v>
      </c>
      <c r="N256" s="35" t="s">
        <v>89</v>
      </c>
    </row>
    <row r="257" spans="1:14" x14ac:dyDescent="0.3">
      <c r="A257" s="16" t="s">
        <v>28</v>
      </c>
      <c r="B257" s="16" t="s">
        <v>11</v>
      </c>
      <c r="C257" s="11">
        <v>77008</v>
      </c>
      <c r="D257" s="11">
        <v>208393</v>
      </c>
      <c r="E257" s="31">
        <v>46262</v>
      </c>
      <c r="F257" s="16" t="s">
        <v>88</v>
      </c>
      <c r="G257" s="22">
        <v>19874</v>
      </c>
      <c r="H257" s="33">
        <v>22.605291999999999</v>
      </c>
      <c r="I257" s="31"/>
      <c r="J257" s="34"/>
      <c r="K257" s="21">
        <f t="shared" si="3"/>
        <v>449257.57320799999</v>
      </c>
      <c r="L257" s="16" t="s">
        <v>89</v>
      </c>
      <c r="M257" s="11" t="s">
        <v>90</v>
      </c>
      <c r="N257" s="35" t="s">
        <v>89</v>
      </c>
    </row>
    <row r="258" spans="1:14" x14ac:dyDescent="0.3">
      <c r="A258" s="16" t="s">
        <v>28</v>
      </c>
      <c r="B258" s="16" t="s">
        <v>11</v>
      </c>
      <c r="C258" s="11">
        <v>77009</v>
      </c>
      <c r="D258" s="11">
        <v>208392</v>
      </c>
      <c r="E258" s="31">
        <v>46262</v>
      </c>
      <c r="F258" s="16" t="s">
        <v>88</v>
      </c>
      <c r="G258" s="22">
        <v>10099</v>
      </c>
      <c r="H258" s="33">
        <v>22.605291999999999</v>
      </c>
      <c r="I258" s="31"/>
      <c r="J258" s="34"/>
      <c r="K258" s="21">
        <f t="shared" si="3"/>
        <v>228290.84390799998</v>
      </c>
      <c r="L258" s="16" t="s">
        <v>89</v>
      </c>
      <c r="M258" s="11" t="s">
        <v>90</v>
      </c>
      <c r="N258" s="35" t="s">
        <v>89</v>
      </c>
    </row>
    <row r="259" spans="1:14" x14ac:dyDescent="0.3">
      <c r="A259" s="16" t="s">
        <v>28</v>
      </c>
      <c r="B259" s="16" t="s">
        <v>10</v>
      </c>
      <c r="C259" s="11">
        <v>75477</v>
      </c>
      <c r="D259" s="11">
        <v>205809</v>
      </c>
      <c r="E259" s="31">
        <v>46235</v>
      </c>
      <c r="F259" s="16" t="s">
        <v>88</v>
      </c>
      <c r="G259" s="22">
        <v>30106</v>
      </c>
      <c r="H259" s="33">
        <v>18.970053</v>
      </c>
      <c r="I259" s="31"/>
      <c r="J259" s="34"/>
      <c r="K259" s="21">
        <f t="shared" si="3"/>
        <v>571112.41561799997</v>
      </c>
      <c r="L259" s="16" t="s">
        <v>89</v>
      </c>
      <c r="M259" s="11" t="s">
        <v>90</v>
      </c>
      <c r="N259" s="35" t="s">
        <v>89</v>
      </c>
    </row>
    <row r="260" spans="1:14" x14ac:dyDescent="0.3">
      <c r="A260" s="16" t="s">
        <v>28</v>
      </c>
      <c r="B260" s="16" t="s">
        <v>10</v>
      </c>
      <c r="C260" s="11">
        <v>75763</v>
      </c>
      <c r="D260" s="11">
        <v>206389</v>
      </c>
      <c r="E260" s="31">
        <v>46240</v>
      </c>
      <c r="F260" s="16" t="s">
        <v>88</v>
      </c>
      <c r="G260" s="22">
        <v>29936</v>
      </c>
      <c r="H260" s="33">
        <v>18.478384999999999</v>
      </c>
      <c r="I260" s="31"/>
      <c r="J260" s="34"/>
      <c r="K260" s="21">
        <f t="shared" si="3"/>
        <v>553168.93336000002</v>
      </c>
      <c r="L260" s="16" t="s">
        <v>89</v>
      </c>
      <c r="M260" s="11" t="s">
        <v>90</v>
      </c>
      <c r="N260" s="35" t="s">
        <v>89</v>
      </c>
    </row>
    <row r="261" spans="1:14" x14ac:dyDescent="0.3">
      <c r="A261" s="16" t="s">
        <v>28</v>
      </c>
      <c r="B261" s="16" t="s">
        <v>10</v>
      </c>
      <c r="C261" s="11">
        <v>76112</v>
      </c>
      <c r="D261" s="11">
        <v>207044</v>
      </c>
      <c r="E261" s="31">
        <v>46246</v>
      </c>
      <c r="F261" s="16" t="s">
        <v>88</v>
      </c>
      <c r="G261" s="22">
        <v>33442</v>
      </c>
      <c r="H261" s="33">
        <v>18.946909999999999</v>
      </c>
      <c r="I261" s="31"/>
      <c r="J261" s="34"/>
      <c r="K261" s="21">
        <f t="shared" ref="K261:K281" si="4">G261*H261</f>
        <v>633622.56421999994</v>
      </c>
      <c r="L261" s="16" t="s">
        <v>89</v>
      </c>
      <c r="M261" s="11" t="s">
        <v>90</v>
      </c>
      <c r="N261" s="35" t="s">
        <v>89</v>
      </c>
    </row>
    <row r="262" spans="1:14" x14ac:dyDescent="0.3">
      <c r="A262" s="16" t="s">
        <v>28</v>
      </c>
      <c r="B262" s="16" t="s">
        <v>10</v>
      </c>
      <c r="C262" s="11">
        <v>76404</v>
      </c>
      <c r="D262" s="11">
        <v>207502</v>
      </c>
      <c r="E262" s="31">
        <v>46252</v>
      </c>
      <c r="F262" s="16" t="s">
        <v>88</v>
      </c>
      <c r="G262" s="22">
        <v>33404</v>
      </c>
      <c r="H262" s="33">
        <v>18.946909999999999</v>
      </c>
      <c r="I262" s="31"/>
      <c r="J262" s="34"/>
      <c r="K262" s="21">
        <f t="shared" si="4"/>
        <v>632902.58163999999</v>
      </c>
      <c r="L262" s="16" t="s">
        <v>89</v>
      </c>
      <c r="M262" s="11" t="s">
        <v>90</v>
      </c>
      <c r="N262" s="35" t="s">
        <v>89</v>
      </c>
    </row>
    <row r="263" spans="1:14" x14ac:dyDescent="0.3">
      <c r="A263" s="16" t="s">
        <v>28</v>
      </c>
      <c r="B263" s="16" t="s">
        <v>10</v>
      </c>
      <c r="C263" s="11">
        <v>76822</v>
      </c>
      <c r="D263" s="11">
        <v>208082</v>
      </c>
      <c r="E263" s="31">
        <v>46259</v>
      </c>
      <c r="F263" s="16" t="s">
        <v>88</v>
      </c>
      <c r="G263" s="22">
        <v>10075</v>
      </c>
      <c r="H263" s="33">
        <v>18.946909999999999</v>
      </c>
      <c r="I263" s="31"/>
      <c r="J263" s="34"/>
      <c r="K263" s="21">
        <f t="shared" si="4"/>
        <v>190890.11825</v>
      </c>
      <c r="L263" s="16" t="s">
        <v>89</v>
      </c>
      <c r="M263" s="11" t="s">
        <v>90</v>
      </c>
      <c r="N263" s="35" t="s">
        <v>89</v>
      </c>
    </row>
    <row r="264" spans="1:14" x14ac:dyDescent="0.3">
      <c r="A264" s="16" t="s">
        <v>28</v>
      </c>
      <c r="B264" s="16" t="s">
        <v>10</v>
      </c>
      <c r="C264" s="11">
        <v>76823</v>
      </c>
      <c r="D264" s="11">
        <v>208083</v>
      </c>
      <c r="E264" s="31">
        <v>46259</v>
      </c>
      <c r="F264" s="16" t="s">
        <v>88</v>
      </c>
      <c r="G264" s="22">
        <v>19835</v>
      </c>
      <c r="H264" s="33">
        <v>18.946909999999999</v>
      </c>
      <c r="I264" s="31"/>
      <c r="J264" s="34"/>
      <c r="K264" s="21">
        <f t="shared" si="4"/>
        <v>375811.95984999998</v>
      </c>
      <c r="L264" s="16" t="s">
        <v>89</v>
      </c>
      <c r="M264" s="11" t="s">
        <v>90</v>
      </c>
      <c r="N264" s="35" t="s">
        <v>89</v>
      </c>
    </row>
    <row r="265" spans="1:14" x14ac:dyDescent="0.3">
      <c r="A265" s="16" t="s">
        <v>28</v>
      </c>
      <c r="B265" s="16" t="s">
        <v>10</v>
      </c>
      <c r="C265" s="11">
        <v>77109</v>
      </c>
      <c r="D265" s="11">
        <v>208589</v>
      </c>
      <c r="E265" s="31">
        <v>46264</v>
      </c>
      <c r="F265" s="16" t="s">
        <v>88</v>
      </c>
      <c r="G265" s="22">
        <v>36139</v>
      </c>
      <c r="H265" s="33">
        <v>18.946909999999999</v>
      </c>
      <c r="I265" s="31"/>
      <c r="J265" s="34"/>
      <c r="K265" s="21">
        <f t="shared" si="4"/>
        <v>684722.38049000001</v>
      </c>
      <c r="L265" s="16" t="s">
        <v>89</v>
      </c>
      <c r="M265" s="11" t="s">
        <v>90</v>
      </c>
      <c r="N265" s="35" t="s">
        <v>89</v>
      </c>
    </row>
    <row r="266" spans="1:14" x14ac:dyDescent="0.3">
      <c r="A266" s="16" t="s">
        <v>29</v>
      </c>
      <c r="B266" s="16" t="s">
        <v>12</v>
      </c>
      <c r="C266" s="11">
        <v>75791</v>
      </c>
      <c r="D266" s="11">
        <v>206421</v>
      </c>
      <c r="E266" s="31">
        <v>46240</v>
      </c>
      <c r="F266" s="16" t="s">
        <v>88</v>
      </c>
      <c r="G266" s="22">
        <v>10063</v>
      </c>
      <c r="H266" s="33">
        <v>21.239604</v>
      </c>
      <c r="I266" s="31">
        <v>46240</v>
      </c>
      <c r="J266" s="34">
        <v>0</v>
      </c>
      <c r="K266" s="21">
        <f t="shared" si="4"/>
        <v>213734.135052</v>
      </c>
      <c r="L266" s="16" t="s">
        <v>92</v>
      </c>
      <c r="M266" s="11" t="s">
        <v>90</v>
      </c>
      <c r="N266" s="35" t="s">
        <v>92</v>
      </c>
    </row>
    <row r="267" spans="1:14" x14ac:dyDescent="0.3">
      <c r="A267" s="16" t="s">
        <v>29</v>
      </c>
      <c r="B267" s="16" t="s">
        <v>12</v>
      </c>
      <c r="C267" s="11">
        <v>76002</v>
      </c>
      <c r="D267" s="11">
        <v>206874</v>
      </c>
      <c r="E267" s="31">
        <v>46244</v>
      </c>
      <c r="F267" s="16" t="s">
        <v>88</v>
      </c>
      <c r="G267" s="22">
        <v>19848</v>
      </c>
      <c r="H267" s="33">
        <v>21.498225000000001</v>
      </c>
      <c r="I267" s="31">
        <v>46244</v>
      </c>
      <c r="J267" s="34">
        <v>0</v>
      </c>
      <c r="K267" s="21">
        <f t="shared" si="4"/>
        <v>426696.76980000001</v>
      </c>
      <c r="L267" s="16" t="s">
        <v>92</v>
      </c>
      <c r="M267" s="11" t="s">
        <v>90</v>
      </c>
      <c r="N267" s="35" t="s">
        <v>92</v>
      </c>
    </row>
    <row r="268" spans="1:14" x14ac:dyDescent="0.3">
      <c r="A268" s="16" t="s">
        <v>29</v>
      </c>
      <c r="B268" s="16" t="s">
        <v>12</v>
      </c>
      <c r="C268" s="11">
        <v>76176</v>
      </c>
      <c r="D268" s="11">
        <v>207139</v>
      </c>
      <c r="E268" s="31">
        <v>46247</v>
      </c>
      <c r="F268" s="16" t="s">
        <v>88</v>
      </c>
      <c r="G268" s="22">
        <v>29864</v>
      </c>
      <c r="H268" s="33">
        <v>22.05857</v>
      </c>
      <c r="I268" s="31">
        <v>46247</v>
      </c>
      <c r="J268" s="34">
        <v>0</v>
      </c>
      <c r="K268" s="21">
        <f t="shared" si="4"/>
        <v>658757.13448000001</v>
      </c>
      <c r="L268" s="16" t="s">
        <v>92</v>
      </c>
      <c r="M268" s="11" t="s">
        <v>90</v>
      </c>
      <c r="N268" s="35" t="s">
        <v>92</v>
      </c>
    </row>
    <row r="269" spans="1:14" x14ac:dyDescent="0.3">
      <c r="A269" s="16" t="s">
        <v>29</v>
      </c>
      <c r="B269" s="16" t="s">
        <v>12</v>
      </c>
      <c r="C269" s="11">
        <v>76342</v>
      </c>
      <c r="D269" s="11">
        <v>207421</v>
      </c>
      <c r="E269" s="31">
        <v>46251</v>
      </c>
      <c r="F269" s="16" t="s">
        <v>88</v>
      </c>
      <c r="G269" s="22">
        <v>19843</v>
      </c>
      <c r="H269" s="33">
        <v>21.953723</v>
      </c>
      <c r="I269" s="31">
        <v>46251</v>
      </c>
      <c r="J269" s="34">
        <v>0</v>
      </c>
      <c r="K269" s="21">
        <f t="shared" si="4"/>
        <v>435627.72548899997</v>
      </c>
      <c r="L269" s="16" t="s">
        <v>92</v>
      </c>
      <c r="M269" s="11" t="s">
        <v>90</v>
      </c>
      <c r="N269" s="35" t="s">
        <v>92</v>
      </c>
    </row>
    <row r="270" spans="1:14" x14ac:dyDescent="0.3">
      <c r="A270" s="16" t="s">
        <v>29</v>
      </c>
      <c r="B270" s="16" t="s">
        <v>12</v>
      </c>
      <c r="C270" s="11">
        <v>76531</v>
      </c>
      <c r="D270" s="11">
        <v>207659</v>
      </c>
      <c r="E270" s="31">
        <v>46254</v>
      </c>
      <c r="F270" s="16" t="s">
        <v>88</v>
      </c>
      <c r="G270" s="22">
        <v>33480</v>
      </c>
      <c r="H270" s="33">
        <v>22.057171</v>
      </c>
      <c r="I270" s="31">
        <v>46254</v>
      </c>
      <c r="J270" s="34">
        <v>0</v>
      </c>
      <c r="K270" s="21">
        <f t="shared" si="4"/>
        <v>738474.08507999999</v>
      </c>
      <c r="L270" s="16" t="s">
        <v>92</v>
      </c>
      <c r="M270" s="11" t="s">
        <v>90</v>
      </c>
      <c r="N270" s="35" t="s">
        <v>92</v>
      </c>
    </row>
    <row r="271" spans="1:14" x14ac:dyDescent="0.3">
      <c r="A271" s="16" t="s">
        <v>29</v>
      </c>
      <c r="B271" s="16" t="s">
        <v>12</v>
      </c>
      <c r="C271" s="11">
        <v>76723</v>
      </c>
      <c r="D271" s="11">
        <v>207970</v>
      </c>
      <c r="E271" s="31">
        <v>46258</v>
      </c>
      <c r="F271" s="16" t="s">
        <v>88</v>
      </c>
      <c r="G271" s="22">
        <v>19894</v>
      </c>
      <c r="H271" s="33">
        <v>21.970963999999999</v>
      </c>
      <c r="I271" s="31">
        <v>46258</v>
      </c>
      <c r="J271" s="34">
        <v>0</v>
      </c>
      <c r="K271" s="21">
        <f t="shared" si="4"/>
        <v>437090.35781599995</v>
      </c>
      <c r="L271" s="16" t="s">
        <v>92</v>
      </c>
      <c r="M271" s="11" t="s">
        <v>90</v>
      </c>
      <c r="N271" s="35" t="s">
        <v>92</v>
      </c>
    </row>
    <row r="272" spans="1:14" x14ac:dyDescent="0.3">
      <c r="A272" s="16" t="s">
        <v>29</v>
      </c>
      <c r="B272" s="16" t="s">
        <v>12</v>
      </c>
      <c r="C272" s="11">
        <v>76949</v>
      </c>
      <c r="D272" s="11">
        <v>208295</v>
      </c>
      <c r="E272" s="31">
        <v>46261</v>
      </c>
      <c r="F272" s="16" t="s">
        <v>88</v>
      </c>
      <c r="G272" s="22">
        <v>33420</v>
      </c>
      <c r="H272" s="33">
        <v>21.621493000000001</v>
      </c>
      <c r="I272" s="31">
        <v>46261</v>
      </c>
      <c r="J272" s="34">
        <v>0</v>
      </c>
      <c r="K272" s="21">
        <f t="shared" si="4"/>
        <v>722590.29606000008</v>
      </c>
      <c r="L272" s="16" t="s">
        <v>92</v>
      </c>
      <c r="M272" s="11" t="s">
        <v>90</v>
      </c>
      <c r="N272" s="35" t="s">
        <v>92</v>
      </c>
    </row>
    <row r="273" spans="1:14" x14ac:dyDescent="0.3">
      <c r="A273" s="16" t="s">
        <v>29</v>
      </c>
      <c r="B273" s="16" t="s">
        <v>11</v>
      </c>
      <c r="C273" s="11">
        <v>76005</v>
      </c>
      <c r="D273" s="11">
        <v>206873</v>
      </c>
      <c r="E273" s="31">
        <v>46244</v>
      </c>
      <c r="F273" s="16" t="s">
        <v>88</v>
      </c>
      <c r="G273" s="22">
        <v>10119</v>
      </c>
      <c r="H273" s="33">
        <v>22.387439000000001</v>
      </c>
      <c r="I273" s="31">
        <v>46244</v>
      </c>
      <c r="J273" s="34">
        <v>0</v>
      </c>
      <c r="K273" s="21">
        <f t="shared" si="4"/>
        <v>226538.495241</v>
      </c>
      <c r="L273" s="16" t="s">
        <v>92</v>
      </c>
      <c r="M273" s="11" t="s">
        <v>90</v>
      </c>
      <c r="N273" s="35" t="s">
        <v>92</v>
      </c>
    </row>
    <row r="274" spans="1:14" x14ac:dyDescent="0.3">
      <c r="A274" s="16" t="s">
        <v>29</v>
      </c>
      <c r="B274" s="16" t="s">
        <v>11</v>
      </c>
      <c r="C274" s="11">
        <v>76341</v>
      </c>
      <c r="D274" s="11">
        <v>207420</v>
      </c>
      <c r="E274" s="31">
        <v>46251</v>
      </c>
      <c r="F274" s="16" t="s">
        <v>88</v>
      </c>
      <c r="G274" s="22">
        <v>10125</v>
      </c>
      <c r="H274" s="33">
        <v>22.223645999999999</v>
      </c>
      <c r="I274" s="31">
        <v>46251</v>
      </c>
      <c r="J274" s="34">
        <v>0</v>
      </c>
      <c r="K274" s="21">
        <f t="shared" si="4"/>
        <v>225014.41574999999</v>
      </c>
      <c r="L274" s="16" t="s">
        <v>92</v>
      </c>
      <c r="M274" s="11" t="s">
        <v>90</v>
      </c>
      <c r="N274" s="35" t="s">
        <v>92</v>
      </c>
    </row>
    <row r="275" spans="1:14" x14ac:dyDescent="0.3">
      <c r="A275" s="16" t="s">
        <v>29</v>
      </c>
      <c r="B275" s="16" t="s">
        <v>11</v>
      </c>
      <c r="C275" s="11">
        <v>76951</v>
      </c>
      <c r="D275" s="11">
        <v>208306</v>
      </c>
      <c r="E275" s="31">
        <v>46261</v>
      </c>
      <c r="F275" s="16" t="s">
        <v>88</v>
      </c>
      <c r="G275" s="22">
        <v>10070</v>
      </c>
      <c r="H275" s="33">
        <v>22.612656000000001</v>
      </c>
      <c r="I275" s="31">
        <v>46261</v>
      </c>
      <c r="J275" s="34">
        <v>0</v>
      </c>
      <c r="K275" s="21">
        <f t="shared" si="4"/>
        <v>227709.44592</v>
      </c>
      <c r="L275" s="16" t="s">
        <v>92</v>
      </c>
      <c r="M275" s="11" t="s">
        <v>90</v>
      </c>
      <c r="N275" s="35" t="s">
        <v>92</v>
      </c>
    </row>
    <row r="276" spans="1:14" x14ac:dyDescent="0.3">
      <c r="A276" s="16" t="s">
        <v>29</v>
      </c>
      <c r="B276" s="16" t="s">
        <v>10</v>
      </c>
      <c r="C276" s="11">
        <v>75657</v>
      </c>
      <c r="D276" s="11">
        <v>206117</v>
      </c>
      <c r="E276" s="31">
        <v>46238</v>
      </c>
      <c r="F276" s="16" t="s">
        <v>88</v>
      </c>
      <c r="G276" s="22">
        <v>29936</v>
      </c>
      <c r="H276" s="33">
        <v>18.816186999999999</v>
      </c>
      <c r="I276" s="31">
        <v>46238</v>
      </c>
      <c r="J276" s="34">
        <v>0</v>
      </c>
      <c r="K276" s="21">
        <f t="shared" si="4"/>
        <v>563281.37403199996</v>
      </c>
      <c r="L276" s="16" t="s">
        <v>92</v>
      </c>
      <c r="M276" s="11" t="s">
        <v>90</v>
      </c>
      <c r="N276" s="35" t="s">
        <v>92</v>
      </c>
    </row>
    <row r="277" spans="1:14" x14ac:dyDescent="0.3">
      <c r="A277" s="16" t="s">
        <v>29</v>
      </c>
      <c r="B277" s="16" t="s">
        <v>10</v>
      </c>
      <c r="C277" s="11">
        <v>75790</v>
      </c>
      <c r="D277" s="11">
        <v>206422</v>
      </c>
      <c r="E277" s="31">
        <v>46240</v>
      </c>
      <c r="F277" s="16" t="s">
        <v>88</v>
      </c>
      <c r="G277" s="22">
        <v>19856</v>
      </c>
      <c r="H277" s="33">
        <v>18.544644999999999</v>
      </c>
      <c r="I277" s="31">
        <v>46240</v>
      </c>
      <c r="J277" s="34">
        <v>0</v>
      </c>
      <c r="K277" s="21">
        <f t="shared" si="4"/>
        <v>368222.47112</v>
      </c>
      <c r="L277" s="16" t="s">
        <v>92</v>
      </c>
      <c r="M277" s="11" t="s">
        <v>90</v>
      </c>
      <c r="N277" s="35" t="s">
        <v>92</v>
      </c>
    </row>
    <row r="278" spans="1:14" x14ac:dyDescent="0.3">
      <c r="A278" s="16" t="s">
        <v>29</v>
      </c>
      <c r="B278" s="16" t="s">
        <v>10</v>
      </c>
      <c r="C278" s="11">
        <v>76175</v>
      </c>
      <c r="D278" s="11">
        <v>207138</v>
      </c>
      <c r="E278" s="31">
        <v>46247</v>
      </c>
      <c r="F278" s="16" t="s">
        <v>88</v>
      </c>
      <c r="G278" s="22">
        <v>29822</v>
      </c>
      <c r="H278" s="33">
        <v>18.980108999999999</v>
      </c>
      <c r="I278" s="31">
        <v>46247</v>
      </c>
      <c r="J278" s="34">
        <v>0</v>
      </c>
      <c r="K278" s="21">
        <f t="shared" si="4"/>
        <v>566024.81059799995</v>
      </c>
      <c r="L278" s="16" t="s">
        <v>92</v>
      </c>
      <c r="M278" s="11" t="s">
        <v>90</v>
      </c>
      <c r="N278" s="35" t="s">
        <v>92</v>
      </c>
    </row>
    <row r="279" spans="1:14" x14ac:dyDescent="0.3">
      <c r="A279" s="16" t="s">
        <v>29</v>
      </c>
      <c r="B279" s="16" t="s">
        <v>10</v>
      </c>
      <c r="C279" s="11">
        <v>76530</v>
      </c>
      <c r="D279" s="11">
        <v>207658</v>
      </c>
      <c r="E279" s="31">
        <v>46254</v>
      </c>
      <c r="F279" s="16" t="s">
        <v>88</v>
      </c>
      <c r="G279" s="22">
        <v>33735</v>
      </c>
      <c r="H279" s="33">
        <v>18.980242000000001</v>
      </c>
      <c r="I279" s="31">
        <v>46254</v>
      </c>
      <c r="J279" s="34">
        <v>0</v>
      </c>
      <c r="K279" s="21">
        <f t="shared" si="4"/>
        <v>640298.46386999998</v>
      </c>
      <c r="L279" s="16" t="s">
        <v>92</v>
      </c>
      <c r="M279" s="11" t="s">
        <v>90</v>
      </c>
      <c r="N279" s="35" t="s">
        <v>92</v>
      </c>
    </row>
    <row r="280" spans="1:14" x14ac:dyDescent="0.3">
      <c r="A280" s="16" t="s">
        <v>29</v>
      </c>
      <c r="B280" s="16" t="s">
        <v>10</v>
      </c>
      <c r="C280" s="11">
        <v>76722</v>
      </c>
      <c r="D280" s="11">
        <v>207969</v>
      </c>
      <c r="E280" s="31">
        <v>46258</v>
      </c>
      <c r="F280" s="16" t="s">
        <v>88</v>
      </c>
      <c r="G280" s="22">
        <v>10117</v>
      </c>
      <c r="H280" s="33">
        <v>18.980242000000001</v>
      </c>
      <c r="I280" s="31">
        <v>46258</v>
      </c>
      <c r="J280" s="34">
        <v>0</v>
      </c>
      <c r="K280" s="21">
        <f t="shared" si="4"/>
        <v>192023.10831400001</v>
      </c>
      <c r="L280" s="16" t="s">
        <v>92</v>
      </c>
      <c r="M280" s="11" t="s">
        <v>90</v>
      </c>
      <c r="N280" s="35" t="s">
        <v>92</v>
      </c>
    </row>
    <row r="281" spans="1:14" x14ac:dyDescent="0.3">
      <c r="A281" s="16" t="s">
        <v>29</v>
      </c>
      <c r="B281" s="16" t="s">
        <v>10</v>
      </c>
      <c r="C281" s="11">
        <v>76952</v>
      </c>
      <c r="D281" s="11">
        <v>208307</v>
      </c>
      <c r="E281" s="31">
        <v>46261</v>
      </c>
      <c r="F281" s="16" t="s">
        <v>88</v>
      </c>
      <c r="G281" s="22">
        <v>19817</v>
      </c>
      <c r="H281" s="33">
        <v>18.980242000000001</v>
      </c>
      <c r="I281" s="31">
        <v>46261</v>
      </c>
      <c r="J281" s="34">
        <v>0</v>
      </c>
      <c r="K281" s="21">
        <f t="shared" si="4"/>
        <v>376131.45571399998</v>
      </c>
      <c r="L281" s="16" t="s">
        <v>92</v>
      </c>
      <c r="M281" s="11" t="s">
        <v>90</v>
      </c>
      <c r="N281" s="35" t="s">
        <v>92</v>
      </c>
    </row>
  </sheetData>
  <autoFilter ref="A4:N281" xr:uid="{00000000-0009-0000-0000-000005000000}"/>
  <conditionalFormatting sqref="L5:L281">
    <cfRule type="expression" dxfId="11" priority="1">
      <formula>ISNUMBER(SEARCH("REGISTRO MANUAL",L5))</formula>
    </cfRule>
    <cfRule type="expression" dxfId="10" priority="2">
      <formula>ISNUMBER(SEARCH("FUERA DE TOLERANCIA",L5))</formula>
    </cfRule>
    <cfRule type="expression" dxfId="9" priority="3">
      <formula>ISNUMBER(SEARCH("FUERA DEL PERIODO",L5))</formula>
    </cfRule>
    <cfRule type="expression" dxfId="8" priority="4">
      <formula>ISNUMBER(SEARCH("NO REGISTRADA",L5))</formula>
    </cfRule>
    <cfRule type="expression" dxfId="7" priority="5">
      <formula>ISNUMBER(SEARCH("desfase",L5))</formula>
    </cfRule>
    <cfRule type="expression" dxfId="6" priority="6">
      <formula>ISNUMBER(SEARCH("SIN REPORTE",L5))</formula>
    </cfRule>
    <cfRule type="expression" dxfId="5" priority="7">
      <formula>ISNUMBER(SEARCH("OK",L5))</formula>
    </cfRule>
  </conditionalFormatting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  <pageSetUpPr fitToPage="1"/>
  </sheetPr>
  <dimension ref="A1:G106"/>
  <sheetViews>
    <sheetView showGridLines="0" workbookViewId="0">
      <pane ySplit="4" topLeftCell="A5" activePane="bottomLeft" state="frozen"/>
      <selection pane="bottomLeft" activeCell="B25" sqref="B25"/>
    </sheetView>
  </sheetViews>
  <sheetFormatPr baseColWidth="10" defaultColWidth="8.88671875" defaultRowHeight="14.4" x14ac:dyDescent="0.3"/>
  <cols>
    <col min="1" max="1" width="16" customWidth="1"/>
    <col min="2" max="2" width="12" customWidth="1"/>
    <col min="3" max="3" width="14" customWidth="1"/>
    <col min="4" max="5" width="12" customWidth="1"/>
    <col min="6" max="6" width="40" customWidth="1"/>
    <col min="7" max="7" width="58" customWidth="1"/>
  </cols>
  <sheetData>
    <row r="1" spans="1:7" ht="25.95" customHeight="1" x14ac:dyDescent="0.4">
      <c r="A1" s="1" t="s">
        <v>99</v>
      </c>
      <c r="B1" s="2"/>
      <c r="C1" s="2"/>
      <c r="D1" s="2"/>
      <c r="E1" s="2"/>
      <c r="F1" s="2"/>
      <c r="G1" s="2"/>
    </row>
    <row r="2" spans="1:7" x14ac:dyDescent="0.3">
      <c r="A2" s="3" t="s">
        <v>100</v>
      </c>
      <c r="B2" s="2"/>
      <c r="C2" s="2"/>
      <c r="D2" s="2"/>
      <c r="E2" s="2"/>
      <c r="F2" s="2"/>
      <c r="G2" s="2"/>
    </row>
    <row r="4" spans="1:7" ht="31.95" customHeight="1" x14ac:dyDescent="0.3">
      <c r="A4" s="5" t="s">
        <v>9</v>
      </c>
      <c r="B4" s="5" t="s">
        <v>37</v>
      </c>
      <c r="C4" s="5" t="s">
        <v>101</v>
      </c>
      <c r="D4" s="5" t="s">
        <v>58</v>
      </c>
      <c r="E4" s="5" t="s">
        <v>102</v>
      </c>
      <c r="F4" s="5" t="s">
        <v>75</v>
      </c>
      <c r="G4" s="5" t="s">
        <v>103</v>
      </c>
    </row>
    <row r="5" spans="1:7" x14ac:dyDescent="0.3">
      <c r="A5" s="36"/>
      <c r="B5" s="36"/>
      <c r="C5" s="37"/>
      <c r="D5" s="38"/>
      <c r="E5" s="39"/>
      <c r="F5" s="39"/>
      <c r="G5" s="16" t="str">
        <f>IF(AND(A5="",D5=""),"",IF(OR(A5="",B5="",C5="",D5=""),"FALTAN DATOS: Estación, Producto, Fecha y Litros son obligatorios",IF(COUNTIFS('Detalle diario'!$A$5:$A$550,A5,'Detalle diario'!$B$5:$B$550,B5,'Detalle diario'!$C$5:$C$550,C5)=0,"NO APLICA: no hay reporte de mermas de esa estación/producto en esa fecha",IF(E5&lt;&gt;"",IF(COUNTIFS('Detalle pipas'!$C$5:$C$281,E5,'Detalle pipas'!$A$5:$A$281,A5,'Detalle pipas'!$B$5:$B$281,B5,'Detalle pipas'!$N$5:$N$281,"NO REGISTRADA*")&gt;0,"APLICADO: registra la factura "&amp;E5,IF(COUNTIFS('Detalle pipas'!$C$5:$C$281,E5,'Detalle pipas'!$A$5:$A$281,A5,'Detalle pipas'!$B$5:$B$281,B5)&gt;0,"OJO: la factura "&amp;E5&amp;" ya estaba registrada; se estaría sumando doble","SIN PIPA: la factura "&amp;E5&amp;" no existe en PIPAS DEL MES para esa estación/producto")),IF(COUNTIFS('Detalle pipas'!$A$5:$A$281,A5,'Detalle pipas'!$B$5:$B$281,B5,'Detalle pipas'!$G$5:$G$281,"&gt;="&amp;(D5-Parámetros!$C$8),'Detalle pipas'!$G$5:$G$281,"&lt;="&amp;(D5+Parámetros!$C$8),'Detalle pipas'!$N$5:$N$281,"NO REGISTRADA*")&gt;0,"APLICADO: registra la pipa de "&amp;TEXT(D5,"#,##0")&amp;" L","SIN PIPA: no hay pipa pendiente con esos litros (revisa litros o pon la factura)")))))</f>
        <v/>
      </c>
    </row>
    <row r="6" spans="1:7" x14ac:dyDescent="0.3">
      <c r="A6" s="36"/>
      <c r="B6" s="36"/>
      <c r="C6" s="37"/>
      <c r="D6" s="38"/>
      <c r="E6" s="39"/>
      <c r="F6" s="39"/>
      <c r="G6" s="16" t="str">
        <f>IF(AND(A6="",D6=""),"",IF(OR(A6="",B6="",C6="",D6=""),"FALTAN DATOS: Estación, Producto, Fecha y Litros son obligatorios",IF(COUNTIFS('Detalle diario'!$A$5:$A$550,A6,'Detalle diario'!$B$5:$B$550,B6,'Detalle diario'!$C$5:$C$550,C6)=0,"NO APLICA: no hay reporte de mermas de esa estación/producto en esa fecha",IF(E6&lt;&gt;"",IF(COUNTIFS('Detalle pipas'!$C$5:$C$281,E6,'Detalle pipas'!$A$5:$A$281,A6,'Detalle pipas'!$B$5:$B$281,B6,'Detalle pipas'!$N$5:$N$281,"NO REGISTRADA*")&gt;0,"APLICADO: registra la factura "&amp;E6,IF(COUNTIFS('Detalle pipas'!$C$5:$C$281,E6,'Detalle pipas'!$A$5:$A$281,A6,'Detalle pipas'!$B$5:$B$281,B6)&gt;0,"OJO: la factura "&amp;E6&amp;" ya estaba registrada; se estaría sumando doble","SIN PIPA: la factura "&amp;E6&amp;" no existe en PIPAS DEL MES para esa estación/producto")),IF(COUNTIFS('Detalle pipas'!$A$5:$A$281,A6,'Detalle pipas'!$B$5:$B$281,B6,'Detalle pipas'!$G$5:$G$281,"&gt;="&amp;(D6-Parámetros!$C$8),'Detalle pipas'!$G$5:$G$281,"&lt;="&amp;(D6+Parámetros!$C$8),'Detalle pipas'!$N$5:$N$281,"NO REGISTRADA*")&gt;0,"APLICADO: registra la pipa de "&amp;TEXT(D6,"#,##0")&amp;" L","SIN PIPA: no hay pipa pendiente con esos litros (revisa litros o pon la factura)")))))</f>
        <v/>
      </c>
    </row>
    <row r="7" spans="1:7" x14ac:dyDescent="0.3">
      <c r="A7" s="36"/>
      <c r="B7" s="36"/>
      <c r="C7" s="37"/>
      <c r="D7" s="38"/>
      <c r="E7" s="39"/>
      <c r="F7" s="39"/>
      <c r="G7" s="16" t="str">
        <f>IF(AND(A7="",D7=""),"",IF(OR(A7="",B7="",C7="",D7=""),"FALTAN DATOS: Estación, Producto, Fecha y Litros son obligatorios",IF(COUNTIFS('Detalle diario'!$A$5:$A$550,A7,'Detalle diario'!$B$5:$B$550,B7,'Detalle diario'!$C$5:$C$550,C7)=0,"NO APLICA: no hay reporte de mermas de esa estación/producto en esa fecha",IF(E7&lt;&gt;"",IF(COUNTIFS('Detalle pipas'!$C$5:$C$281,E7,'Detalle pipas'!$A$5:$A$281,A7,'Detalle pipas'!$B$5:$B$281,B7,'Detalle pipas'!$N$5:$N$281,"NO REGISTRADA*")&gt;0,"APLICADO: registra la factura "&amp;E7,IF(COUNTIFS('Detalle pipas'!$C$5:$C$281,E7,'Detalle pipas'!$A$5:$A$281,A7,'Detalle pipas'!$B$5:$B$281,B7)&gt;0,"OJO: la factura "&amp;E7&amp;" ya estaba registrada; se estaría sumando doble","SIN PIPA: la factura "&amp;E7&amp;" no existe en PIPAS DEL MES para esa estación/producto")),IF(COUNTIFS('Detalle pipas'!$A$5:$A$281,A7,'Detalle pipas'!$B$5:$B$281,B7,'Detalle pipas'!$G$5:$G$281,"&gt;="&amp;(D7-Parámetros!$C$8),'Detalle pipas'!$G$5:$G$281,"&lt;="&amp;(D7+Parámetros!$C$8),'Detalle pipas'!$N$5:$N$281,"NO REGISTRADA*")&gt;0,"APLICADO: registra la pipa de "&amp;TEXT(D7,"#,##0")&amp;" L","SIN PIPA: no hay pipa pendiente con esos litros (revisa litros o pon la factura)")))))</f>
        <v/>
      </c>
    </row>
    <row r="8" spans="1:7" x14ac:dyDescent="0.3">
      <c r="A8" s="36"/>
      <c r="B8" s="36"/>
      <c r="C8" s="37"/>
      <c r="D8" s="38"/>
      <c r="E8" s="39"/>
      <c r="F8" s="39"/>
      <c r="G8" s="16" t="str">
        <f>IF(AND(A8="",D8=""),"",IF(OR(A8="",B8="",C8="",D8=""),"FALTAN DATOS: Estación, Producto, Fecha y Litros son obligatorios",IF(COUNTIFS('Detalle diario'!$A$5:$A$550,A8,'Detalle diario'!$B$5:$B$550,B8,'Detalle diario'!$C$5:$C$550,C8)=0,"NO APLICA: no hay reporte de mermas de esa estación/producto en esa fecha",IF(E8&lt;&gt;"",IF(COUNTIFS('Detalle pipas'!$C$5:$C$281,E8,'Detalle pipas'!$A$5:$A$281,A8,'Detalle pipas'!$B$5:$B$281,B8,'Detalle pipas'!$N$5:$N$281,"NO REGISTRADA*")&gt;0,"APLICADO: registra la factura "&amp;E8,IF(COUNTIFS('Detalle pipas'!$C$5:$C$281,E8,'Detalle pipas'!$A$5:$A$281,A8,'Detalle pipas'!$B$5:$B$281,B8)&gt;0,"OJO: la factura "&amp;E8&amp;" ya estaba registrada; se estaría sumando doble","SIN PIPA: la factura "&amp;E8&amp;" no existe en PIPAS DEL MES para esa estación/producto")),IF(COUNTIFS('Detalle pipas'!$A$5:$A$281,A8,'Detalle pipas'!$B$5:$B$281,B8,'Detalle pipas'!$G$5:$G$281,"&gt;="&amp;(D8-Parámetros!$C$8),'Detalle pipas'!$G$5:$G$281,"&lt;="&amp;(D8+Parámetros!$C$8),'Detalle pipas'!$N$5:$N$281,"NO REGISTRADA*")&gt;0,"APLICADO: registra la pipa de "&amp;TEXT(D8,"#,##0")&amp;" L","SIN PIPA: no hay pipa pendiente con esos litros (revisa litros o pon la factura)")))))</f>
        <v/>
      </c>
    </row>
    <row r="9" spans="1:7" x14ac:dyDescent="0.3">
      <c r="A9" s="36"/>
      <c r="B9" s="36"/>
      <c r="C9" s="37"/>
      <c r="D9" s="38"/>
      <c r="E9" s="39"/>
      <c r="F9" s="39"/>
      <c r="G9" s="16" t="str">
        <f>IF(AND(A9="",D9=""),"",IF(OR(A9="",B9="",C9="",D9=""),"FALTAN DATOS: Estación, Producto, Fecha y Litros son obligatorios",IF(COUNTIFS('Detalle diario'!$A$5:$A$550,A9,'Detalle diario'!$B$5:$B$550,B9,'Detalle diario'!$C$5:$C$550,C9)=0,"NO APLICA: no hay reporte de mermas de esa estación/producto en esa fecha",IF(E9&lt;&gt;"",IF(COUNTIFS('Detalle pipas'!$C$5:$C$281,E9,'Detalle pipas'!$A$5:$A$281,A9,'Detalle pipas'!$B$5:$B$281,B9,'Detalle pipas'!$N$5:$N$281,"NO REGISTRADA*")&gt;0,"APLICADO: registra la factura "&amp;E9,IF(COUNTIFS('Detalle pipas'!$C$5:$C$281,E9,'Detalle pipas'!$A$5:$A$281,A9,'Detalle pipas'!$B$5:$B$281,B9)&gt;0,"OJO: la factura "&amp;E9&amp;" ya estaba registrada; se estaría sumando doble","SIN PIPA: la factura "&amp;E9&amp;" no existe en PIPAS DEL MES para esa estación/producto")),IF(COUNTIFS('Detalle pipas'!$A$5:$A$281,A9,'Detalle pipas'!$B$5:$B$281,B9,'Detalle pipas'!$G$5:$G$281,"&gt;="&amp;(D9-Parámetros!$C$8),'Detalle pipas'!$G$5:$G$281,"&lt;="&amp;(D9+Parámetros!$C$8),'Detalle pipas'!$N$5:$N$281,"NO REGISTRADA*")&gt;0,"APLICADO: registra la pipa de "&amp;TEXT(D9,"#,##0")&amp;" L","SIN PIPA: no hay pipa pendiente con esos litros (revisa litros o pon la factura)")))))</f>
        <v/>
      </c>
    </row>
    <row r="10" spans="1:7" x14ac:dyDescent="0.3">
      <c r="A10" s="36"/>
      <c r="B10" s="36"/>
      <c r="C10" s="37"/>
      <c r="D10" s="38"/>
      <c r="E10" s="39"/>
      <c r="F10" s="39"/>
      <c r="G10" s="16" t="str">
        <f>IF(AND(A10="",D10=""),"",IF(OR(A10="",B10="",C10="",D10=""),"FALTAN DATOS: Estación, Producto, Fecha y Litros son obligatorios",IF(COUNTIFS('Detalle diario'!$A$5:$A$550,A10,'Detalle diario'!$B$5:$B$550,B10,'Detalle diario'!$C$5:$C$550,C10)=0,"NO APLICA: no hay reporte de mermas de esa estación/producto en esa fecha",IF(E10&lt;&gt;"",IF(COUNTIFS('Detalle pipas'!$C$5:$C$281,E10,'Detalle pipas'!$A$5:$A$281,A10,'Detalle pipas'!$B$5:$B$281,B10,'Detalle pipas'!$N$5:$N$281,"NO REGISTRADA*")&gt;0,"APLICADO: registra la factura "&amp;E10,IF(COUNTIFS('Detalle pipas'!$C$5:$C$281,E10,'Detalle pipas'!$A$5:$A$281,A10,'Detalle pipas'!$B$5:$B$281,B10)&gt;0,"OJO: la factura "&amp;E10&amp;" ya estaba registrada; se estaría sumando doble","SIN PIPA: la factura "&amp;E10&amp;" no existe en PIPAS DEL MES para esa estación/producto")),IF(COUNTIFS('Detalle pipas'!$A$5:$A$281,A10,'Detalle pipas'!$B$5:$B$281,B10,'Detalle pipas'!$G$5:$G$281,"&gt;="&amp;(D10-Parámetros!$C$8),'Detalle pipas'!$G$5:$G$281,"&lt;="&amp;(D10+Parámetros!$C$8),'Detalle pipas'!$N$5:$N$281,"NO REGISTRADA*")&gt;0,"APLICADO: registra la pipa de "&amp;TEXT(D10,"#,##0")&amp;" L","SIN PIPA: no hay pipa pendiente con esos litros (revisa litros o pon la factura)")))))</f>
        <v/>
      </c>
    </row>
    <row r="11" spans="1:7" x14ac:dyDescent="0.3">
      <c r="A11" s="36"/>
      <c r="B11" s="36"/>
      <c r="C11" s="37"/>
      <c r="D11" s="38"/>
      <c r="E11" s="39"/>
      <c r="F11" s="39"/>
      <c r="G11" s="16" t="str">
        <f>IF(AND(A11="",D11=""),"",IF(OR(A11="",B11="",C11="",D11=""),"FALTAN DATOS: Estación, Producto, Fecha y Litros son obligatorios",IF(COUNTIFS('Detalle diario'!$A$5:$A$550,A11,'Detalle diario'!$B$5:$B$550,B11,'Detalle diario'!$C$5:$C$550,C11)=0,"NO APLICA: no hay reporte de mermas de esa estación/producto en esa fecha",IF(E11&lt;&gt;"",IF(COUNTIFS('Detalle pipas'!$C$5:$C$281,E11,'Detalle pipas'!$A$5:$A$281,A11,'Detalle pipas'!$B$5:$B$281,B11,'Detalle pipas'!$N$5:$N$281,"NO REGISTRADA*")&gt;0,"APLICADO: registra la factura "&amp;E11,IF(COUNTIFS('Detalle pipas'!$C$5:$C$281,E11,'Detalle pipas'!$A$5:$A$281,A11,'Detalle pipas'!$B$5:$B$281,B11)&gt;0,"OJO: la factura "&amp;E11&amp;" ya estaba registrada; se estaría sumando doble","SIN PIPA: la factura "&amp;E11&amp;" no existe en PIPAS DEL MES para esa estación/producto")),IF(COUNTIFS('Detalle pipas'!$A$5:$A$281,A11,'Detalle pipas'!$B$5:$B$281,B11,'Detalle pipas'!$G$5:$G$281,"&gt;="&amp;(D11-Parámetros!$C$8),'Detalle pipas'!$G$5:$G$281,"&lt;="&amp;(D11+Parámetros!$C$8),'Detalle pipas'!$N$5:$N$281,"NO REGISTRADA*")&gt;0,"APLICADO: registra la pipa de "&amp;TEXT(D11,"#,##0")&amp;" L","SIN PIPA: no hay pipa pendiente con esos litros (revisa litros o pon la factura)")))))</f>
        <v/>
      </c>
    </row>
    <row r="12" spans="1:7" x14ac:dyDescent="0.3">
      <c r="A12" s="36"/>
      <c r="B12" s="36"/>
      <c r="C12" s="37"/>
      <c r="D12" s="38"/>
      <c r="E12" s="39"/>
      <c r="F12" s="39"/>
      <c r="G12" s="16" t="str">
        <f>IF(AND(A12="",D12=""),"",IF(OR(A12="",B12="",C12="",D12=""),"FALTAN DATOS: Estación, Producto, Fecha y Litros son obligatorios",IF(COUNTIFS('Detalle diario'!$A$5:$A$550,A12,'Detalle diario'!$B$5:$B$550,B12,'Detalle diario'!$C$5:$C$550,C12)=0,"NO APLICA: no hay reporte de mermas de esa estación/producto en esa fecha",IF(E12&lt;&gt;"",IF(COUNTIFS('Detalle pipas'!$C$5:$C$281,E12,'Detalle pipas'!$A$5:$A$281,A12,'Detalle pipas'!$B$5:$B$281,B12,'Detalle pipas'!$N$5:$N$281,"NO REGISTRADA*")&gt;0,"APLICADO: registra la factura "&amp;E12,IF(COUNTIFS('Detalle pipas'!$C$5:$C$281,E12,'Detalle pipas'!$A$5:$A$281,A12,'Detalle pipas'!$B$5:$B$281,B12)&gt;0,"OJO: la factura "&amp;E12&amp;" ya estaba registrada; se estaría sumando doble","SIN PIPA: la factura "&amp;E12&amp;" no existe en PIPAS DEL MES para esa estación/producto")),IF(COUNTIFS('Detalle pipas'!$A$5:$A$281,A12,'Detalle pipas'!$B$5:$B$281,B12,'Detalle pipas'!$G$5:$G$281,"&gt;="&amp;(D12-Parámetros!$C$8),'Detalle pipas'!$G$5:$G$281,"&lt;="&amp;(D12+Parámetros!$C$8),'Detalle pipas'!$N$5:$N$281,"NO REGISTRADA*")&gt;0,"APLICADO: registra la pipa de "&amp;TEXT(D12,"#,##0")&amp;" L","SIN PIPA: no hay pipa pendiente con esos litros (revisa litros o pon la factura)")))))</f>
        <v/>
      </c>
    </row>
    <row r="13" spans="1:7" x14ac:dyDescent="0.3">
      <c r="A13" s="36"/>
      <c r="B13" s="36"/>
      <c r="C13" s="37"/>
      <c r="D13" s="38"/>
      <c r="E13" s="39"/>
      <c r="F13" s="39"/>
      <c r="G13" s="16" t="str">
        <f>IF(AND(A13="",D13=""),"",IF(OR(A13="",B13="",C13="",D13=""),"FALTAN DATOS: Estación, Producto, Fecha y Litros son obligatorios",IF(COUNTIFS('Detalle diario'!$A$5:$A$550,A13,'Detalle diario'!$B$5:$B$550,B13,'Detalle diario'!$C$5:$C$550,C13)=0,"NO APLICA: no hay reporte de mermas de esa estación/producto en esa fecha",IF(E13&lt;&gt;"",IF(COUNTIFS('Detalle pipas'!$C$5:$C$281,E13,'Detalle pipas'!$A$5:$A$281,A13,'Detalle pipas'!$B$5:$B$281,B13,'Detalle pipas'!$N$5:$N$281,"NO REGISTRADA*")&gt;0,"APLICADO: registra la factura "&amp;E13,IF(COUNTIFS('Detalle pipas'!$C$5:$C$281,E13,'Detalle pipas'!$A$5:$A$281,A13,'Detalle pipas'!$B$5:$B$281,B13)&gt;0,"OJO: la factura "&amp;E13&amp;" ya estaba registrada; se estaría sumando doble","SIN PIPA: la factura "&amp;E13&amp;" no existe en PIPAS DEL MES para esa estación/producto")),IF(COUNTIFS('Detalle pipas'!$A$5:$A$281,A13,'Detalle pipas'!$B$5:$B$281,B13,'Detalle pipas'!$G$5:$G$281,"&gt;="&amp;(D13-Parámetros!$C$8),'Detalle pipas'!$G$5:$G$281,"&lt;="&amp;(D13+Parámetros!$C$8),'Detalle pipas'!$N$5:$N$281,"NO REGISTRADA*")&gt;0,"APLICADO: registra la pipa de "&amp;TEXT(D13,"#,##0")&amp;" L","SIN PIPA: no hay pipa pendiente con esos litros (revisa litros o pon la factura)")))))</f>
        <v/>
      </c>
    </row>
    <row r="14" spans="1:7" x14ac:dyDescent="0.3">
      <c r="A14" s="36"/>
      <c r="B14" s="36"/>
      <c r="C14" s="37"/>
      <c r="D14" s="38"/>
      <c r="E14" s="39"/>
      <c r="F14" s="39"/>
      <c r="G14" s="16" t="str">
        <f>IF(AND(A14="",D14=""),"",IF(OR(A14="",B14="",C14="",D14=""),"FALTAN DATOS: Estación, Producto, Fecha y Litros son obligatorios",IF(COUNTIFS('Detalle diario'!$A$5:$A$550,A14,'Detalle diario'!$B$5:$B$550,B14,'Detalle diario'!$C$5:$C$550,C14)=0,"NO APLICA: no hay reporte de mermas de esa estación/producto en esa fecha",IF(E14&lt;&gt;"",IF(COUNTIFS('Detalle pipas'!$C$5:$C$281,E14,'Detalle pipas'!$A$5:$A$281,A14,'Detalle pipas'!$B$5:$B$281,B14,'Detalle pipas'!$N$5:$N$281,"NO REGISTRADA*")&gt;0,"APLICADO: registra la factura "&amp;E14,IF(COUNTIFS('Detalle pipas'!$C$5:$C$281,E14,'Detalle pipas'!$A$5:$A$281,A14,'Detalle pipas'!$B$5:$B$281,B14)&gt;0,"OJO: la factura "&amp;E14&amp;" ya estaba registrada; se estaría sumando doble","SIN PIPA: la factura "&amp;E14&amp;" no existe en PIPAS DEL MES para esa estación/producto")),IF(COUNTIFS('Detalle pipas'!$A$5:$A$281,A14,'Detalle pipas'!$B$5:$B$281,B14,'Detalle pipas'!$G$5:$G$281,"&gt;="&amp;(D14-Parámetros!$C$8),'Detalle pipas'!$G$5:$G$281,"&lt;="&amp;(D14+Parámetros!$C$8),'Detalle pipas'!$N$5:$N$281,"NO REGISTRADA*")&gt;0,"APLICADO: registra la pipa de "&amp;TEXT(D14,"#,##0")&amp;" L","SIN PIPA: no hay pipa pendiente con esos litros (revisa litros o pon la factura)")))))</f>
        <v/>
      </c>
    </row>
    <row r="15" spans="1:7" x14ac:dyDescent="0.3">
      <c r="A15" s="36"/>
      <c r="B15" s="36"/>
      <c r="C15" s="37"/>
      <c r="D15" s="38"/>
      <c r="E15" s="39"/>
      <c r="F15" s="39"/>
      <c r="G15" s="16" t="str">
        <f>IF(AND(A15="",D15=""),"",IF(OR(A15="",B15="",C15="",D15=""),"FALTAN DATOS: Estación, Producto, Fecha y Litros son obligatorios",IF(COUNTIFS('Detalle diario'!$A$5:$A$550,A15,'Detalle diario'!$B$5:$B$550,B15,'Detalle diario'!$C$5:$C$550,C15)=0,"NO APLICA: no hay reporte de mermas de esa estación/producto en esa fecha",IF(E15&lt;&gt;"",IF(COUNTIFS('Detalle pipas'!$C$5:$C$281,E15,'Detalle pipas'!$A$5:$A$281,A15,'Detalle pipas'!$B$5:$B$281,B15,'Detalle pipas'!$N$5:$N$281,"NO REGISTRADA*")&gt;0,"APLICADO: registra la factura "&amp;E15,IF(COUNTIFS('Detalle pipas'!$C$5:$C$281,E15,'Detalle pipas'!$A$5:$A$281,A15,'Detalle pipas'!$B$5:$B$281,B15)&gt;0,"OJO: la factura "&amp;E15&amp;" ya estaba registrada; se estaría sumando doble","SIN PIPA: la factura "&amp;E15&amp;" no existe en PIPAS DEL MES para esa estación/producto")),IF(COUNTIFS('Detalle pipas'!$A$5:$A$281,A15,'Detalle pipas'!$B$5:$B$281,B15,'Detalle pipas'!$G$5:$G$281,"&gt;="&amp;(D15-Parámetros!$C$8),'Detalle pipas'!$G$5:$G$281,"&lt;="&amp;(D15+Parámetros!$C$8),'Detalle pipas'!$N$5:$N$281,"NO REGISTRADA*")&gt;0,"APLICADO: registra la pipa de "&amp;TEXT(D15,"#,##0")&amp;" L","SIN PIPA: no hay pipa pendiente con esos litros (revisa litros o pon la factura)")))))</f>
        <v/>
      </c>
    </row>
    <row r="16" spans="1:7" x14ac:dyDescent="0.3">
      <c r="A16" s="36"/>
      <c r="B16" s="36"/>
      <c r="C16" s="37"/>
      <c r="D16" s="38"/>
      <c r="E16" s="39"/>
      <c r="F16" s="39"/>
      <c r="G16" s="16" t="str">
        <f>IF(AND(A16="",D16=""),"",IF(OR(A16="",B16="",C16="",D16=""),"FALTAN DATOS: Estación, Producto, Fecha y Litros son obligatorios",IF(COUNTIFS('Detalle diario'!$A$5:$A$550,A16,'Detalle diario'!$B$5:$B$550,B16,'Detalle diario'!$C$5:$C$550,C16)=0,"NO APLICA: no hay reporte de mermas de esa estación/producto en esa fecha",IF(E16&lt;&gt;"",IF(COUNTIFS('Detalle pipas'!$C$5:$C$281,E16,'Detalle pipas'!$A$5:$A$281,A16,'Detalle pipas'!$B$5:$B$281,B16,'Detalle pipas'!$N$5:$N$281,"NO REGISTRADA*")&gt;0,"APLICADO: registra la factura "&amp;E16,IF(COUNTIFS('Detalle pipas'!$C$5:$C$281,E16,'Detalle pipas'!$A$5:$A$281,A16,'Detalle pipas'!$B$5:$B$281,B16)&gt;0,"OJO: la factura "&amp;E16&amp;" ya estaba registrada; se estaría sumando doble","SIN PIPA: la factura "&amp;E16&amp;" no existe en PIPAS DEL MES para esa estación/producto")),IF(COUNTIFS('Detalle pipas'!$A$5:$A$281,A16,'Detalle pipas'!$B$5:$B$281,B16,'Detalle pipas'!$G$5:$G$281,"&gt;="&amp;(D16-Parámetros!$C$8),'Detalle pipas'!$G$5:$G$281,"&lt;="&amp;(D16+Parámetros!$C$8),'Detalle pipas'!$N$5:$N$281,"NO REGISTRADA*")&gt;0,"APLICADO: registra la pipa de "&amp;TEXT(D16,"#,##0")&amp;" L","SIN PIPA: no hay pipa pendiente con esos litros (revisa litros o pon la factura)")))))</f>
        <v/>
      </c>
    </row>
    <row r="17" spans="1:7" x14ac:dyDescent="0.3">
      <c r="A17" s="36"/>
      <c r="B17" s="36"/>
      <c r="C17" s="37"/>
      <c r="D17" s="38"/>
      <c r="E17" s="39"/>
      <c r="F17" s="39"/>
      <c r="G17" s="16" t="str">
        <f>IF(AND(A17="",D17=""),"",IF(OR(A17="",B17="",C17="",D17=""),"FALTAN DATOS: Estación, Producto, Fecha y Litros son obligatorios",IF(COUNTIFS('Detalle diario'!$A$5:$A$550,A17,'Detalle diario'!$B$5:$B$550,B17,'Detalle diario'!$C$5:$C$550,C17)=0,"NO APLICA: no hay reporte de mermas de esa estación/producto en esa fecha",IF(E17&lt;&gt;"",IF(COUNTIFS('Detalle pipas'!$C$5:$C$281,E17,'Detalle pipas'!$A$5:$A$281,A17,'Detalle pipas'!$B$5:$B$281,B17,'Detalle pipas'!$N$5:$N$281,"NO REGISTRADA*")&gt;0,"APLICADO: registra la factura "&amp;E17,IF(COUNTIFS('Detalle pipas'!$C$5:$C$281,E17,'Detalle pipas'!$A$5:$A$281,A17,'Detalle pipas'!$B$5:$B$281,B17)&gt;0,"OJO: la factura "&amp;E17&amp;" ya estaba registrada; se estaría sumando doble","SIN PIPA: la factura "&amp;E17&amp;" no existe en PIPAS DEL MES para esa estación/producto")),IF(COUNTIFS('Detalle pipas'!$A$5:$A$281,A17,'Detalle pipas'!$B$5:$B$281,B17,'Detalle pipas'!$G$5:$G$281,"&gt;="&amp;(D17-Parámetros!$C$8),'Detalle pipas'!$G$5:$G$281,"&lt;="&amp;(D17+Parámetros!$C$8),'Detalle pipas'!$N$5:$N$281,"NO REGISTRADA*")&gt;0,"APLICADO: registra la pipa de "&amp;TEXT(D17,"#,##0")&amp;" L","SIN PIPA: no hay pipa pendiente con esos litros (revisa litros o pon la factura)")))))</f>
        <v/>
      </c>
    </row>
    <row r="18" spans="1:7" x14ac:dyDescent="0.3">
      <c r="A18" s="36"/>
      <c r="B18" s="36"/>
      <c r="C18" s="37"/>
      <c r="D18" s="38"/>
      <c r="E18" s="39"/>
      <c r="F18" s="39"/>
      <c r="G18" s="16" t="str">
        <f>IF(AND(A18="",D18=""),"",IF(OR(A18="",B18="",C18="",D18=""),"FALTAN DATOS: Estación, Producto, Fecha y Litros son obligatorios",IF(COUNTIFS('Detalle diario'!$A$5:$A$550,A18,'Detalle diario'!$B$5:$B$550,B18,'Detalle diario'!$C$5:$C$550,C18)=0,"NO APLICA: no hay reporte de mermas de esa estación/producto en esa fecha",IF(E18&lt;&gt;"",IF(COUNTIFS('Detalle pipas'!$C$5:$C$281,E18,'Detalle pipas'!$A$5:$A$281,A18,'Detalle pipas'!$B$5:$B$281,B18,'Detalle pipas'!$N$5:$N$281,"NO REGISTRADA*")&gt;0,"APLICADO: registra la factura "&amp;E18,IF(COUNTIFS('Detalle pipas'!$C$5:$C$281,E18,'Detalle pipas'!$A$5:$A$281,A18,'Detalle pipas'!$B$5:$B$281,B18)&gt;0,"OJO: la factura "&amp;E18&amp;" ya estaba registrada; se estaría sumando doble","SIN PIPA: la factura "&amp;E18&amp;" no existe en PIPAS DEL MES para esa estación/producto")),IF(COUNTIFS('Detalle pipas'!$A$5:$A$281,A18,'Detalle pipas'!$B$5:$B$281,B18,'Detalle pipas'!$G$5:$G$281,"&gt;="&amp;(D18-Parámetros!$C$8),'Detalle pipas'!$G$5:$G$281,"&lt;="&amp;(D18+Parámetros!$C$8),'Detalle pipas'!$N$5:$N$281,"NO REGISTRADA*")&gt;0,"APLICADO: registra la pipa de "&amp;TEXT(D18,"#,##0")&amp;" L","SIN PIPA: no hay pipa pendiente con esos litros (revisa litros o pon la factura)")))))</f>
        <v/>
      </c>
    </row>
    <row r="19" spans="1:7" x14ac:dyDescent="0.3">
      <c r="A19" s="36"/>
      <c r="B19" s="36"/>
      <c r="C19" s="37"/>
      <c r="D19" s="38"/>
      <c r="E19" s="39"/>
      <c r="F19" s="39"/>
      <c r="G19" s="16" t="str">
        <f>IF(AND(A19="",D19=""),"",IF(OR(A19="",B19="",C19="",D19=""),"FALTAN DATOS: Estación, Producto, Fecha y Litros son obligatorios",IF(COUNTIFS('Detalle diario'!$A$5:$A$550,A19,'Detalle diario'!$B$5:$B$550,B19,'Detalle diario'!$C$5:$C$550,C19)=0,"NO APLICA: no hay reporte de mermas de esa estación/producto en esa fecha",IF(E19&lt;&gt;"",IF(COUNTIFS('Detalle pipas'!$C$5:$C$281,E19,'Detalle pipas'!$A$5:$A$281,A19,'Detalle pipas'!$B$5:$B$281,B19,'Detalle pipas'!$N$5:$N$281,"NO REGISTRADA*")&gt;0,"APLICADO: registra la factura "&amp;E19,IF(COUNTIFS('Detalle pipas'!$C$5:$C$281,E19,'Detalle pipas'!$A$5:$A$281,A19,'Detalle pipas'!$B$5:$B$281,B19)&gt;0,"OJO: la factura "&amp;E19&amp;" ya estaba registrada; se estaría sumando doble","SIN PIPA: la factura "&amp;E19&amp;" no existe en PIPAS DEL MES para esa estación/producto")),IF(COUNTIFS('Detalle pipas'!$A$5:$A$281,A19,'Detalle pipas'!$B$5:$B$281,B19,'Detalle pipas'!$G$5:$G$281,"&gt;="&amp;(D19-Parámetros!$C$8),'Detalle pipas'!$G$5:$G$281,"&lt;="&amp;(D19+Parámetros!$C$8),'Detalle pipas'!$N$5:$N$281,"NO REGISTRADA*")&gt;0,"APLICADO: registra la pipa de "&amp;TEXT(D19,"#,##0")&amp;" L","SIN PIPA: no hay pipa pendiente con esos litros (revisa litros o pon la factura)")))))</f>
        <v/>
      </c>
    </row>
    <row r="20" spans="1:7" x14ac:dyDescent="0.3">
      <c r="A20" s="36"/>
      <c r="B20" s="36"/>
      <c r="C20" s="37"/>
      <c r="D20" s="38"/>
      <c r="E20" s="39"/>
      <c r="F20" s="39"/>
      <c r="G20" s="16" t="str">
        <f>IF(AND(A20="",D20=""),"",IF(OR(A20="",B20="",C20="",D20=""),"FALTAN DATOS: Estación, Producto, Fecha y Litros son obligatorios",IF(COUNTIFS('Detalle diario'!$A$5:$A$550,A20,'Detalle diario'!$B$5:$B$550,B20,'Detalle diario'!$C$5:$C$550,C20)=0,"NO APLICA: no hay reporte de mermas de esa estación/producto en esa fecha",IF(E20&lt;&gt;"",IF(COUNTIFS('Detalle pipas'!$C$5:$C$281,E20,'Detalle pipas'!$A$5:$A$281,A20,'Detalle pipas'!$B$5:$B$281,B20,'Detalle pipas'!$N$5:$N$281,"NO REGISTRADA*")&gt;0,"APLICADO: registra la factura "&amp;E20,IF(COUNTIFS('Detalle pipas'!$C$5:$C$281,E20,'Detalle pipas'!$A$5:$A$281,A20,'Detalle pipas'!$B$5:$B$281,B20)&gt;0,"OJO: la factura "&amp;E20&amp;" ya estaba registrada; se estaría sumando doble","SIN PIPA: la factura "&amp;E20&amp;" no existe en PIPAS DEL MES para esa estación/producto")),IF(COUNTIFS('Detalle pipas'!$A$5:$A$281,A20,'Detalle pipas'!$B$5:$B$281,B20,'Detalle pipas'!$G$5:$G$281,"&gt;="&amp;(D20-Parámetros!$C$8),'Detalle pipas'!$G$5:$G$281,"&lt;="&amp;(D20+Parámetros!$C$8),'Detalle pipas'!$N$5:$N$281,"NO REGISTRADA*")&gt;0,"APLICADO: registra la pipa de "&amp;TEXT(D20,"#,##0")&amp;" L","SIN PIPA: no hay pipa pendiente con esos litros (revisa litros o pon la factura)")))))</f>
        <v/>
      </c>
    </row>
    <row r="21" spans="1:7" x14ac:dyDescent="0.3">
      <c r="A21" s="36"/>
      <c r="B21" s="36"/>
      <c r="C21" s="37"/>
      <c r="D21" s="38"/>
      <c r="E21" s="39"/>
      <c r="F21" s="39"/>
      <c r="G21" s="16" t="str">
        <f>IF(AND(A21="",D21=""),"",IF(OR(A21="",B21="",C21="",D21=""),"FALTAN DATOS: Estación, Producto, Fecha y Litros son obligatorios",IF(COUNTIFS('Detalle diario'!$A$5:$A$550,A21,'Detalle diario'!$B$5:$B$550,B21,'Detalle diario'!$C$5:$C$550,C21)=0,"NO APLICA: no hay reporte de mermas de esa estación/producto en esa fecha",IF(E21&lt;&gt;"",IF(COUNTIFS('Detalle pipas'!$C$5:$C$281,E21,'Detalle pipas'!$A$5:$A$281,A21,'Detalle pipas'!$B$5:$B$281,B21,'Detalle pipas'!$N$5:$N$281,"NO REGISTRADA*")&gt;0,"APLICADO: registra la factura "&amp;E21,IF(COUNTIFS('Detalle pipas'!$C$5:$C$281,E21,'Detalle pipas'!$A$5:$A$281,A21,'Detalle pipas'!$B$5:$B$281,B21)&gt;0,"OJO: la factura "&amp;E21&amp;" ya estaba registrada; se estaría sumando doble","SIN PIPA: la factura "&amp;E21&amp;" no existe en PIPAS DEL MES para esa estación/producto")),IF(COUNTIFS('Detalle pipas'!$A$5:$A$281,A21,'Detalle pipas'!$B$5:$B$281,B21,'Detalle pipas'!$G$5:$G$281,"&gt;="&amp;(D21-Parámetros!$C$8),'Detalle pipas'!$G$5:$G$281,"&lt;="&amp;(D21+Parámetros!$C$8),'Detalle pipas'!$N$5:$N$281,"NO REGISTRADA*")&gt;0,"APLICADO: registra la pipa de "&amp;TEXT(D21,"#,##0")&amp;" L","SIN PIPA: no hay pipa pendiente con esos litros (revisa litros o pon la factura)")))))</f>
        <v/>
      </c>
    </row>
    <row r="22" spans="1:7" x14ac:dyDescent="0.3">
      <c r="A22" s="36"/>
      <c r="B22" s="36"/>
      <c r="C22" s="37"/>
      <c r="D22" s="38"/>
      <c r="E22" s="39"/>
      <c r="F22" s="39"/>
      <c r="G22" s="16" t="str">
        <f>IF(AND(A22="",D22=""),"",IF(OR(A22="",B22="",C22="",D22=""),"FALTAN DATOS: Estación, Producto, Fecha y Litros son obligatorios",IF(COUNTIFS('Detalle diario'!$A$5:$A$550,A22,'Detalle diario'!$B$5:$B$550,B22,'Detalle diario'!$C$5:$C$550,C22)=0,"NO APLICA: no hay reporte de mermas de esa estación/producto en esa fecha",IF(E22&lt;&gt;"",IF(COUNTIFS('Detalle pipas'!$C$5:$C$281,E22,'Detalle pipas'!$A$5:$A$281,A22,'Detalle pipas'!$B$5:$B$281,B22,'Detalle pipas'!$N$5:$N$281,"NO REGISTRADA*")&gt;0,"APLICADO: registra la factura "&amp;E22,IF(COUNTIFS('Detalle pipas'!$C$5:$C$281,E22,'Detalle pipas'!$A$5:$A$281,A22,'Detalle pipas'!$B$5:$B$281,B22)&gt;0,"OJO: la factura "&amp;E22&amp;" ya estaba registrada; se estaría sumando doble","SIN PIPA: la factura "&amp;E22&amp;" no existe en PIPAS DEL MES para esa estación/producto")),IF(COUNTIFS('Detalle pipas'!$A$5:$A$281,A22,'Detalle pipas'!$B$5:$B$281,B22,'Detalle pipas'!$G$5:$G$281,"&gt;="&amp;(D22-Parámetros!$C$8),'Detalle pipas'!$G$5:$G$281,"&lt;="&amp;(D22+Parámetros!$C$8),'Detalle pipas'!$N$5:$N$281,"NO REGISTRADA*")&gt;0,"APLICADO: registra la pipa de "&amp;TEXT(D22,"#,##0")&amp;" L","SIN PIPA: no hay pipa pendiente con esos litros (revisa litros o pon la factura)")))))</f>
        <v/>
      </c>
    </row>
    <row r="23" spans="1:7" x14ac:dyDescent="0.3">
      <c r="A23" s="36"/>
      <c r="B23" s="36"/>
      <c r="C23" s="37"/>
      <c r="D23" s="38"/>
      <c r="E23" s="39"/>
      <c r="F23" s="39"/>
      <c r="G23" s="16" t="str">
        <f>IF(AND(A23="",D23=""),"",IF(OR(A23="",B23="",C23="",D23=""),"FALTAN DATOS: Estación, Producto, Fecha y Litros son obligatorios",IF(COUNTIFS('Detalle diario'!$A$5:$A$550,A23,'Detalle diario'!$B$5:$B$550,B23,'Detalle diario'!$C$5:$C$550,C23)=0,"NO APLICA: no hay reporte de mermas de esa estación/producto en esa fecha",IF(E23&lt;&gt;"",IF(COUNTIFS('Detalle pipas'!$C$5:$C$281,E23,'Detalle pipas'!$A$5:$A$281,A23,'Detalle pipas'!$B$5:$B$281,B23,'Detalle pipas'!$N$5:$N$281,"NO REGISTRADA*")&gt;0,"APLICADO: registra la factura "&amp;E23,IF(COUNTIFS('Detalle pipas'!$C$5:$C$281,E23,'Detalle pipas'!$A$5:$A$281,A23,'Detalle pipas'!$B$5:$B$281,B23)&gt;0,"OJO: la factura "&amp;E23&amp;" ya estaba registrada; se estaría sumando doble","SIN PIPA: la factura "&amp;E23&amp;" no existe en PIPAS DEL MES para esa estación/producto")),IF(COUNTIFS('Detalle pipas'!$A$5:$A$281,A23,'Detalle pipas'!$B$5:$B$281,B23,'Detalle pipas'!$G$5:$G$281,"&gt;="&amp;(D23-Parámetros!$C$8),'Detalle pipas'!$G$5:$G$281,"&lt;="&amp;(D23+Parámetros!$C$8),'Detalle pipas'!$N$5:$N$281,"NO REGISTRADA*")&gt;0,"APLICADO: registra la pipa de "&amp;TEXT(D23,"#,##0")&amp;" L","SIN PIPA: no hay pipa pendiente con esos litros (revisa litros o pon la factura)")))))</f>
        <v/>
      </c>
    </row>
    <row r="24" spans="1:7" x14ac:dyDescent="0.3">
      <c r="A24" s="36"/>
      <c r="B24" s="36"/>
      <c r="C24" s="37"/>
      <c r="D24" s="38"/>
      <c r="E24" s="39"/>
      <c r="F24" s="39"/>
      <c r="G24" s="16" t="str">
        <f>IF(AND(A24="",D24=""),"",IF(OR(A24="",B24="",C24="",D24=""),"FALTAN DATOS: Estación, Producto, Fecha y Litros son obligatorios",IF(COUNTIFS('Detalle diario'!$A$5:$A$550,A24,'Detalle diario'!$B$5:$B$550,B24,'Detalle diario'!$C$5:$C$550,C24)=0,"NO APLICA: no hay reporte de mermas de esa estación/producto en esa fecha",IF(E24&lt;&gt;"",IF(COUNTIFS('Detalle pipas'!$C$5:$C$281,E24,'Detalle pipas'!$A$5:$A$281,A24,'Detalle pipas'!$B$5:$B$281,B24,'Detalle pipas'!$N$5:$N$281,"NO REGISTRADA*")&gt;0,"APLICADO: registra la factura "&amp;E24,IF(COUNTIFS('Detalle pipas'!$C$5:$C$281,E24,'Detalle pipas'!$A$5:$A$281,A24,'Detalle pipas'!$B$5:$B$281,B24)&gt;0,"OJO: la factura "&amp;E24&amp;" ya estaba registrada; se estaría sumando doble","SIN PIPA: la factura "&amp;E24&amp;" no existe en PIPAS DEL MES para esa estación/producto")),IF(COUNTIFS('Detalle pipas'!$A$5:$A$281,A24,'Detalle pipas'!$B$5:$B$281,B24,'Detalle pipas'!$G$5:$G$281,"&gt;="&amp;(D24-Parámetros!$C$8),'Detalle pipas'!$G$5:$G$281,"&lt;="&amp;(D24+Parámetros!$C$8),'Detalle pipas'!$N$5:$N$281,"NO REGISTRADA*")&gt;0,"APLICADO: registra la pipa de "&amp;TEXT(D24,"#,##0")&amp;" L","SIN PIPA: no hay pipa pendiente con esos litros (revisa litros o pon la factura)")))))</f>
        <v/>
      </c>
    </row>
    <row r="25" spans="1:7" x14ac:dyDescent="0.3">
      <c r="A25" s="36"/>
      <c r="B25" s="36"/>
      <c r="C25" s="37"/>
      <c r="D25" s="38"/>
      <c r="E25" s="39"/>
      <c r="F25" s="39"/>
      <c r="G25" s="16" t="str">
        <f>IF(AND(A25="",D25=""),"",IF(OR(A25="",B25="",C25="",D25=""),"FALTAN DATOS: Estación, Producto, Fecha y Litros son obligatorios",IF(COUNTIFS('Detalle diario'!$A$5:$A$550,A25,'Detalle diario'!$B$5:$B$550,B25,'Detalle diario'!$C$5:$C$550,C25)=0,"NO APLICA: no hay reporte de mermas de esa estación/producto en esa fecha",IF(E25&lt;&gt;"",IF(COUNTIFS('Detalle pipas'!$C$5:$C$281,E25,'Detalle pipas'!$A$5:$A$281,A25,'Detalle pipas'!$B$5:$B$281,B25,'Detalle pipas'!$N$5:$N$281,"NO REGISTRADA*")&gt;0,"APLICADO: registra la factura "&amp;E25,IF(COUNTIFS('Detalle pipas'!$C$5:$C$281,E25,'Detalle pipas'!$A$5:$A$281,A25,'Detalle pipas'!$B$5:$B$281,B25)&gt;0,"OJO: la factura "&amp;E25&amp;" ya estaba registrada; se estaría sumando doble","SIN PIPA: la factura "&amp;E25&amp;" no existe en PIPAS DEL MES para esa estación/producto")),IF(COUNTIFS('Detalle pipas'!$A$5:$A$281,A25,'Detalle pipas'!$B$5:$B$281,B25,'Detalle pipas'!$G$5:$G$281,"&gt;="&amp;(D25-Parámetros!$C$8),'Detalle pipas'!$G$5:$G$281,"&lt;="&amp;(D25+Parámetros!$C$8),'Detalle pipas'!$N$5:$N$281,"NO REGISTRADA*")&gt;0,"APLICADO: registra la pipa de "&amp;TEXT(D25,"#,##0")&amp;" L","SIN PIPA: no hay pipa pendiente con esos litros (revisa litros o pon la factura)")))))</f>
        <v/>
      </c>
    </row>
    <row r="26" spans="1:7" x14ac:dyDescent="0.3">
      <c r="A26" s="36"/>
      <c r="B26" s="36"/>
      <c r="C26" s="37"/>
      <c r="D26" s="38"/>
      <c r="E26" s="39"/>
      <c r="F26" s="39"/>
      <c r="G26" s="16" t="str">
        <f>IF(AND(A26="",D26=""),"",IF(OR(A26="",B26="",C26="",D26=""),"FALTAN DATOS: Estación, Producto, Fecha y Litros son obligatorios",IF(COUNTIFS('Detalle diario'!$A$5:$A$550,A26,'Detalle diario'!$B$5:$B$550,B26,'Detalle diario'!$C$5:$C$550,C26)=0,"NO APLICA: no hay reporte de mermas de esa estación/producto en esa fecha",IF(E26&lt;&gt;"",IF(COUNTIFS('Detalle pipas'!$C$5:$C$281,E26,'Detalle pipas'!$A$5:$A$281,A26,'Detalle pipas'!$B$5:$B$281,B26,'Detalle pipas'!$N$5:$N$281,"NO REGISTRADA*")&gt;0,"APLICADO: registra la factura "&amp;E26,IF(COUNTIFS('Detalle pipas'!$C$5:$C$281,E26,'Detalle pipas'!$A$5:$A$281,A26,'Detalle pipas'!$B$5:$B$281,B26)&gt;0,"OJO: la factura "&amp;E26&amp;" ya estaba registrada; se estaría sumando doble","SIN PIPA: la factura "&amp;E26&amp;" no existe en PIPAS DEL MES para esa estación/producto")),IF(COUNTIFS('Detalle pipas'!$A$5:$A$281,A26,'Detalle pipas'!$B$5:$B$281,B26,'Detalle pipas'!$G$5:$G$281,"&gt;="&amp;(D26-Parámetros!$C$8),'Detalle pipas'!$G$5:$G$281,"&lt;="&amp;(D26+Parámetros!$C$8),'Detalle pipas'!$N$5:$N$281,"NO REGISTRADA*")&gt;0,"APLICADO: registra la pipa de "&amp;TEXT(D26,"#,##0")&amp;" L","SIN PIPA: no hay pipa pendiente con esos litros (revisa litros o pon la factura)")))))</f>
        <v/>
      </c>
    </row>
    <row r="27" spans="1:7" x14ac:dyDescent="0.3">
      <c r="A27" s="36"/>
      <c r="B27" s="36"/>
      <c r="C27" s="37"/>
      <c r="D27" s="38"/>
      <c r="E27" s="39"/>
      <c r="F27" s="39"/>
      <c r="G27" s="16" t="str">
        <f>IF(AND(A27="",D27=""),"",IF(OR(A27="",B27="",C27="",D27=""),"FALTAN DATOS: Estación, Producto, Fecha y Litros son obligatorios",IF(COUNTIFS('Detalle diario'!$A$5:$A$550,A27,'Detalle diario'!$B$5:$B$550,B27,'Detalle diario'!$C$5:$C$550,C27)=0,"NO APLICA: no hay reporte de mermas de esa estación/producto en esa fecha",IF(E27&lt;&gt;"",IF(COUNTIFS('Detalle pipas'!$C$5:$C$281,E27,'Detalle pipas'!$A$5:$A$281,A27,'Detalle pipas'!$B$5:$B$281,B27,'Detalle pipas'!$N$5:$N$281,"NO REGISTRADA*")&gt;0,"APLICADO: registra la factura "&amp;E27,IF(COUNTIFS('Detalle pipas'!$C$5:$C$281,E27,'Detalle pipas'!$A$5:$A$281,A27,'Detalle pipas'!$B$5:$B$281,B27)&gt;0,"OJO: la factura "&amp;E27&amp;" ya estaba registrada; se estaría sumando doble","SIN PIPA: la factura "&amp;E27&amp;" no existe en PIPAS DEL MES para esa estación/producto")),IF(COUNTIFS('Detalle pipas'!$A$5:$A$281,A27,'Detalle pipas'!$B$5:$B$281,B27,'Detalle pipas'!$G$5:$G$281,"&gt;="&amp;(D27-Parámetros!$C$8),'Detalle pipas'!$G$5:$G$281,"&lt;="&amp;(D27+Parámetros!$C$8),'Detalle pipas'!$N$5:$N$281,"NO REGISTRADA*")&gt;0,"APLICADO: registra la pipa de "&amp;TEXT(D27,"#,##0")&amp;" L","SIN PIPA: no hay pipa pendiente con esos litros (revisa litros o pon la factura)")))))</f>
        <v/>
      </c>
    </row>
    <row r="28" spans="1:7" x14ac:dyDescent="0.3">
      <c r="A28" s="36"/>
      <c r="B28" s="36"/>
      <c r="C28" s="37"/>
      <c r="D28" s="38"/>
      <c r="E28" s="39"/>
      <c r="F28" s="39"/>
      <c r="G28" s="16" t="str">
        <f>IF(AND(A28="",D28=""),"",IF(OR(A28="",B28="",C28="",D28=""),"FALTAN DATOS: Estación, Producto, Fecha y Litros son obligatorios",IF(COUNTIFS('Detalle diario'!$A$5:$A$550,A28,'Detalle diario'!$B$5:$B$550,B28,'Detalle diario'!$C$5:$C$550,C28)=0,"NO APLICA: no hay reporte de mermas de esa estación/producto en esa fecha",IF(E28&lt;&gt;"",IF(COUNTIFS('Detalle pipas'!$C$5:$C$281,E28,'Detalle pipas'!$A$5:$A$281,A28,'Detalle pipas'!$B$5:$B$281,B28,'Detalle pipas'!$N$5:$N$281,"NO REGISTRADA*")&gt;0,"APLICADO: registra la factura "&amp;E28,IF(COUNTIFS('Detalle pipas'!$C$5:$C$281,E28,'Detalle pipas'!$A$5:$A$281,A28,'Detalle pipas'!$B$5:$B$281,B28)&gt;0,"OJO: la factura "&amp;E28&amp;" ya estaba registrada; se estaría sumando doble","SIN PIPA: la factura "&amp;E28&amp;" no existe en PIPAS DEL MES para esa estación/producto")),IF(COUNTIFS('Detalle pipas'!$A$5:$A$281,A28,'Detalle pipas'!$B$5:$B$281,B28,'Detalle pipas'!$G$5:$G$281,"&gt;="&amp;(D28-Parámetros!$C$8),'Detalle pipas'!$G$5:$G$281,"&lt;="&amp;(D28+Parámetros!$C$8),'Detalle pipas'!$N$5:$N$281,"NO REGISTRADA*")&gt;0,"APLICADO: registra la pipa de "&amp;TEXT(D28,"#,##0")&amp;" L","SIN PIPA: no hay pipa pendiente con esos litros (revisa litros o pon la factura)")))))</f>
        <v/>
      </c>
    </row>
    <row r="29" spans="1:7" x14ac:dyDescent="0.3">
      <c r="A29" s="36"/>
      <c r="B29" s="36"/>
      <c r="C29" s="37"/>
      <c r="D29" s="38"/>
      <c r="E29" s="39"/>
      <c r="F29" s="39"/>
      <c r="G29" s="16" t="str">
        <f>IF(AND(A29="",D29=""),"",IF(OR(A29="",B29="",C29="",D29=""),"FALTAN DATOS: Estación, Producto, Fecha y Litros son obligatorios",IF(COUNTIFS('Detalle diario'!$A$5:$A$550,A29,'Detalle diario'!$B$5:$B$550,B29,'Detalle diario'!$C$5:$C$550,C29)=0,"NO APLICA: no hay reporte de mermas de esa estación/producto en esa fecha",IF(E29&lt;&gt;"",IF(COUNTIFS('Detalle pipas'!$C$5:$C$281,E29,'Detalle pipas'!$A$5:$A$281,A29,'Detalle pipas'!$B$5:$B$281,B29,'Detalle pipas'!$N$5:$N$281,"NO REGISTRADA*")&gt;0,"APLICADO: registra la factura "&amp;E29,IF(COUNTIFS('Detalle pipas'!$C$5:$C$281,E29,'Detalle pipas'!$A$5:$A$281,A29,'Detalle pipas'!$B$5:$B$281,B29)&gt;0,"OJO: la factura "&amp;E29&amp;" ya estaba registrada; se estaría sumando doble","SIN PIPA: la factura "&amp;E29&amp;" no existe en PIPAS DEL MES para esa estación/producto")),IF(COUNTIFS('Detalle pipas'!$A$5:$A$281,A29,'Detalle pipas'!$B$5:$B$281,B29,'Detalle pipas'!$G$5:$G$281,"&gt;="&amp;(D29-Parámetros!$C$8),'Detalle pipas'!$G$5:$G$281,"&lt;="&amp;(D29+Parámetros!$C$8),'Detalle pipas'!$N$5:$N$281,"NO REGISTRADA*")&gt;0,"APLICADO: registra la pipa de "&amp;TEXT(D29,"#,##0")&amp;" L","SIN PIPA: no hay pipa pendiente con esos litros (revisa litros o pon la factura)")))))</f>
        <v/>
      </c>
    </row>
    <row r="30" spans="1:7" x14ac:dyDescent="0.3">
      <c r="A30" s="36"/>
      <c r="B30" s="36"/>
      <c r="C30" s="37"/>
      <c r="D30" s="38"/>
      <c r="E30" s="39"/>
      <c r="F30" s="39"/>
      <c r="G30" s="16" t="str">
        <f>IF(AND(A30="",D30=""),"",IF(OR(A30="",B30="",C30="",D30=""),"FALTAN DATOS: Estación, Producto, Fecha y Litros son obligatorios",IF(COUNTIFS('Detalle diario'!$A$5:$A$550,A30,'Detalle diario'!$B$5:$B$550,B30,'Detalle diario'!$C$5:$C$550,C30)=0,"NO APLICA: no hay reporte de mermas de esa estación/producto en esa fecha",IF(E30&lt;&gt;"",IF(COUNTIFS('Detalle pipas'!$C$5:$C$281,E30,'Detalle pipas'!$A$5:$A$281,A30,'Detalle pipas'!$B$5:$B$281,B30,'Detalle pipas'!$N$5:$N$281,"NO REGISTRADA*")&gt;0,"APLICADO: registra la factura "&amp;E30,IF(COUNTIFS('Detalle pipas'!$C$5:$C$281,E30,'Detalle pipas'!$A$5:$A$281,A30,'Detalle pipas'!$B$5:$B$281,B30)&gt;0,"OJO: la factura "&amp;E30&amp;" ya estaba registrada; se estaría sumando doble","SIN PIPA: la factura "&amp;E30&amp;" no existe en PIPAS DEL MES para esa estación/producto")),IF(COUNTIFS('Detalle pipas'!$A$5:$A$281,A30,'Detalle pipas'!$B$5:$B$281,B30,'Detalle pipas'!$G$5:$G$281,"&gt;="&amp;(D30-Parámetros!$C$8),'Detalle pipas'!$G$5:$G$281,"&lt;="&amp;(D30+Parámetros!$C$8),'Detalle pipas'!$N$5:$N$281,"NO REGISTRADA*")&gt;0,"APLICADO: registra la pipa de "&amp;TEXT(D30,"#,##0")&amp;" L","SIN PIPA: no hay pipa pendiente con esos litros (revisa litros o pon la factura)")))))</f>
        <v/>
      </c>
    </row>
    <row r="31" spans="1:7" x14ac:dyDescent="0.3">
      <c r="A31" s="36"/>
      <c r="B31" s="36"/>
      <c r="C31" s="37"/>
      <c r="D31" s="38"/>
      <c r="E31" s="39"/>
      <c r="F31" s="39"/>
      <c r="G31" s="16" t="str">
        <f>IF(AND(A31="",D31=""),"",IF(OR(A31="",B31="",C31="",D31=""),"FALTAN DATOS: Estación, Producto, Fecha y Litros son obligatorios",IF(COUNTIFS('Detalle diario'!$A$5:$A$550,A31,'Detalle diario'!$B$5:$B$550,B31,'Detalle diario'!$C$5:$C$550,C31)=0,"NO APLICA: no hay reporte de mermas de esa estación/producto en esa fecha",IF(E31&lt;&gt;"",IF(COUNTIFS('Detalle pipas'!$C$5:$C$281,E31,'Detalle pipas'!$A$5:$A$281,A31,'Detalle pipas'!$B$5:$B$281,B31,'Detalle pipas'!$N$5:$N$281,"NO REGISTRADA*")&gt;0,"APLICADO: registra la factura "&amp;E31,IF(COUNTIFS('Detalle pipas'!$C$5:$C$281,E31,'Detalle pipas'!$A$5:$A$281,A31,'Detalle pipas'!$B$5:$B$281,B31)&gt;0,"OJO: la factura "&amp;E31&amp;" ya estaba registrada; se estaría sumando doble","SIN PIPA: la factura "&amp;E31&amp;" no existe en PIPAS DEL MES para esa estación/producto")),IF(COUNTIFS('Detalle pipas'!$A$5:$A$281,A31,'Detalle pipas'!$B$5:$B$281,B31,'Detalle pipas'!$G$5:$G$281,"&gt;="&amp;(D31-Parámetros!$C$8),'Detalle pipas'!$G$5:$G$281,"&lt;="&amp;(D31+Parámetros!$C$8),'Detalle pipas'!$N$5:$N$281,"NO REGISTRADA*")&gt;0,"APLICADO: registra la pipa de "&amp;TEXT(D31,"#,##0")&amp;" L","SIN PIPA: no hay pipa pendiente con esos litros (revisa litros o pon la factura)")))))</f>
        <v/>
      </c>
    </row>
    <row r="32" spans="1:7" x14ac:dyDescent="0.3">
      <c r="A32" s="36"/>
      <c r="B32" s="36"/>
      <c r="C32" s="37"/>
      <c r="D32" s="38"/>
      <c r="E32" s="39"/>
      <c r="F32" s="39"/>
      <c r="G32" s="16" t="str">
        <f>IF(AND(A32="",D32=""),"",IF(OR(A32="",B32="",C32="",D32=""),"FALTAN DATOS: Estación, Producto, Fecha y Litros son obligatorios",IF(COUNTIFS('Detalle diario'!$A$5:$A$550,A32,'Detalle diario'!$B$5:$B$550,B32,'Detalle diario'!$C$5:$C$550,C32)=0,"NO APLICA: no hay reporte de mermas de esa estación/producto en esa fecha",IF(E32&lt;&gt;"",IF(COUNTIFS('Detalle pipas'!$C$5:$C$281,E32,'Detalle pipas'!$A$5:$A$281,A32,'Detalle pipas'!$B$5:$B$281,B32,'Detalle pipas'!$N$5:$N$281,"NO REGISTRADA*")&gt;0,"APLICADO: registra la factura "&amp;E32,IF(COUNTIFS('Detalle pipas'!$C$5:$C$281,E32,'Detalle pipas'!$A$5:$A$281,A32,'Detalle pipas'!$B$5:$B$281,B32)&gt;0,"OJO: la factura "&amp;E32&amp;" ya estaba registrada; se estaría sumando doble","SIN PIPA: la factura "&amp;E32&amp;" no existe en PIPAS DEL MES para esa estación/producto")),IF(COUNTIFS('Detalle pipas'!$A$5:$A$281,A32,'Detalle pipas'!$B$5:$B$281,B32,'Detalle pipas'!$G$5:$G$281,"&gt;="&amp;(D32-Parámetros!$C$8),'Detalle pipas'!$G$5:$G$281,"&lt;="&amp;(D32+Parámetros!$C$8),'Detalle pipas'!$N$5:$N$281,"NO REGISTRADA*")&gt;0,"APLICADO: registra la pipa de "&amp;TEXT(D32,"#,##0")&amp;" L","SIN PIPA: no hay pipa pendiente con esos litros (revisa litros o pon la factura)")))))</f>
        <v/>
      </c>
    </row>
    <row r="33" spans="1:7" x14ac:dyDescent="0.3">
      <c r="A33" s="36"/>
      <c r="B33" s="36"/>
      <c r="C33" s="37"/>
      <c r="D33" s="38"/>
      <c r="E33" s="39"/>
      <c r="F33" s="39"/>
      <c r="G33" s="16" t="str">
        <f>IF(AND(A33="",D33=""),"",IF(OR(A33="",B33="",C33="",D33=""),"FALTAN DATOS: Estación, Producto, Fecha y Litros son obligatorios",IF(COUNTIFS('Detalle diario'!$A$5:$A$550,A33,'Detalle diario'!$B$5:$B$550,B33,'Detalle diario'!$C$5:$C$550,C33)=0,"NO APLICA: no hay reporte de mermas de esa estación/producto en esa fecha",IF(E33&lt;&gt;"",IF(COUNTIFS('Detalle pipas'!$C$5:$C$281,E33,'Detalle pipas'!$A$5:$A$281,A33,'Detalle pipas'!$B$5:$B$281,B33,'Detalle pipas'!$N$5:$N$281,"NO REGISTRADA*")&gt;0,"APLICADO: registra la factura "&amp;E33,IF(COUNTIFS('Detalle pipas'!$C$5:$C$281,E33,'Detalle pipas'!$A$5:$A$281,A33,'Detalle pipas'!$B$5:$B$281,B33)&gt;0,"OJO: la factura "&amp;E33&amp;" ya estaba registrada; se estaría sumando doble","SIN PIPA: la factura "&amp;E33&amp;" no existe en PIPAS DEL MES para esa estación/producto")),IF(COUNTIFS('Detalle pipas'!$A$5:$A$281,A33,'Detalle pipas'!$B$5:$B$281,B33,'Detalle pipas'!$G$5:$G$281,"&gt;="&amp;(D33-Parámetros!$C$8),'Detalle pipas'!$G$5:$G$281,"&lt;="&amp;(D33+Parámetros!$C$8),'Detalle pipas'!$N$5:$N$281,"NO REGISTRADA*")&gt;0,"APLICADO: registra la pipa de "&amp;TEXT(D33,"#,##0")&amp;" L","SIN PIPA: no hay pipa pendiente con esos litros (revisa litros o pon la factura)")))))</f>
        <v/>
      </c>
    </row>
    <row r="34" spans="1:7" x14ac:dyDescent="0.3">
      <c r="A34" s="36"/>
      <c r="B34" s="36"/>
      <c r="C34" s="37"/>
      <c r="D34" s="38"/>
      <c r="E34" s="39"/>
      <c r="F34" s="39"/>
      <c r="G34" s="16" t="str">
        <f>IF(AND(A34="",D34=""),"",IF(OR(A34="",B34="",C34="",D34=""),"FALTAN DATOS: Estación, Producto, Fecha y Litros son obligatorios",IF(COUNTIFS('Detalle diario'!$A$5:$A$550,A34,'Detalle diario'!$B$5:$B$550,B34,'Detalle diario'!$C$5:$C$550,C34)=0,"NO APLICA: no hay reporte de mermas de esa estación/producto en esa fecha",IF(E34&lt;&gt;"",IF(COUNTIFS('Detalle pipas'!$C$5:$C$281,E34,'Detalle pipas'!$A$5:$A$281,A34,'Detalle pipas'!$B$5:$B$281,B34,'Detalle pipas'!$N$5:$N$281,"NO REGISTRADA*")&gt;0,"APLICADO: registra la factura "&amp;E34,IF(COUNTIFS('Detalle pipas'!$C$5:$C$281,E34,'Detalle pipas'!$A$5:$A$281,A34,'Detalle pipas'!$B$5:$B$281,B34)&gt;0,"OJO: la factura "&amp;E34&amp;" ya estaba registrada; se estaría sumando doble","SIN PIPA: la factura "&amp;E34&amp;" no existe en PIPAS DEL MES para esa estación/producto")),IF(COUNTIFS('Detalle pipas'!$A$5:$A$281,A34,'Detalle pipas'!$B$5:$B$281,B34,'Detalle pipas'!$G$5:$G$281,"&gt;="&amp;(D34-Parámetros!$C$8),'Detalle pipas'!$G$5:$G$281,"&lt;="&amp;(D34+Parámetros!$C$8),'Detalle pipas'!$N$5:$N$281,"NO REGISTRADA*")&gt;0,"APLICADO: registra la pipa de "&amp;TEXT(D34,"#,##0")&amp;" L","SIN PIPA: no hay pipa pendiente con esos litros (revisa litros o pon la factura)")))))</f>
        <v/>
      </c>
    </row>
    <row r="35" spans="1:7" x14ac:dyDescent="0.3">
      <c r="A35" s="36"/>
      <c r="B35" s="36"/>
      <c r="C35" s="37"/>
      <c r="D35" s="38"/>
      <c r="E35" s="39"/>
      <c r="F35" s="39"/>
      <c r="G35" s="16" t="str">
        <f>IF(AND(A35="",D35=""),"",IF(OR(A35="",B35="",C35="",D35=""),"FALTAN DATOS: Estación, Producto, Fecha y Litros son obligatorios",IF(COUNTIFS('Detalle diario'!$A$5:$A$550,A35,'Detalle diario'!$B$5:$B$550,B35,'Detalle diario'!$C$5:$C$550,C35)=0,"NO APLICA: no hay reporte de mermas de esa estación/producto en esa fecha",IF(E35&lt;&gt;"",IF(COUNTIFS('Detalle pipas'!$C$5:$C$281,E35,'Detalle pipas'!$A$5:$A$281,A35,'Detalle pipas'!$B$5:$B$281,B35,'Detalle pipas'!$N$5:$N$281,"NO REGISTRADA*")&gt;0,"APLICADO: registra la factura "&amp;E35,IF(COUNTIFS('Detalle pipas'!$C$5:$C$281,E35,'Detalle pipas'!$A$5:$A$281,A35,'Detalle pipas'!$B$5:$B$281,B35)&gt;0,"OJO: la factura "&amp;E35&amp;" ya estaba registrada; se estaría sumando doble","SIN PIPA: la factura "&amp;E35&amp;" no existe en PIPAS DEL MES para esa estación/producto")),IF(COUNTIFS('Detalle pipas'!$A$5:$A$281,A35,'Detalle pipas'!$B$5:$B$281,B35,'Detalle pipas'!$G$5:$G$281,"&gt;="&amp;(D35-Parámetros!$C$8),'Detalle pipas'!$G$5:$G$281,"&lt;="&amp;(D35+Parámetros!$C$8),'Detalle pipas'!$N$5:$N$281,"NO REGISTRADA*")&gt;0,"APLICADO: registra la pipa de "&amp;TEXT(D35,"#,##0")&amp;" L","SIN PIPA: no hay pipa pendiente con esos litros (revisa litros o pon la factura)")))))</f>
        <v/>
      </c>
    </row>
    <row r="36" spans="1:7" x14ac:dyDescent="0.3">
      <c r="A36" s="36"/>
      <c r="B36" s="36"/>
      <c r="C36" s="37"/>
      <c r="D36" s="38"/>
      <c r="E36" s="39"/>
      <c r="F36" s="39"/>
      <c r="G36" s="16" t="str">
        <f>IF(AND(A36="",D36=""),"",IF(OR(A36="",B36="",C36="",D36=""),"FALTAN DATOS: Estación, Producto, Fecha y Litros son obligatorios",IF(COUNTIFS('Detalle diario'!$A$5:$A$550,A36,'Detalle diario'!$B$5:$B$550,B36,'Detalle diario'!$C$5:$C$550,C36)=0,"NO APLICA: no hay reporte de mermas de esa estación/producto en esa fecha",IF(E36&lt;&gt;"",IF(COUNTIFS('Detalle pipas'!$C$5:$C$281,E36,'Detalle pipas'!$A$5:$A$281,A36,'Detalle pipas'!$B$5:$B$281,B36,'Detalle pipas'!$N$5:$N$281,"NO REGISTRADA*")&gt;0,"APLICADO: registra la factura "&amp;E36,IF(COUNTIFS('Detalle pipas'!$C$5:$C$281,E36,'Detalle pipas'!$A$5:$A$281,A36,'Detalle pipas'!$B$5:$B$281,B36)&gt;0,"OJO: la factura "&amp;E36&amp;" ya estaba registrada; se estaría sumando doble","SIN PIPA: la factura "&amp;E36&amp;" no existe en PIPAS DEL MES para esa estación/producto")),IF(COUNTIFS('Detalle pipas'!$A$5:$A$281,A36,'Detalle pipas'!$B$5:$B$281,B36,'Detalle pipas'!$G$5:$G$281,"&gt;="&amp;(D36-Parámetros!$C$8),'Detalle pipas'!$G$5:$G$281,"&lt;="&amp;(D36+Parámetros!$C$8),'Detalle pipas'!$N$5:$N$281,"NO REGISTRADA*")&gt;0,"APLICADO: registra la pipa de "&amp;TEXT(D36,"#,##0")&amp;" L","SIN PIPA: no hay pipa pendiente con esos litros (revisa litros o pon la factura)")))))</f>
        <v/>
      </c>
    </row>
    <row r="37" spans="1:7" x14ac:dyDescent="0.3">
      <c r="A37" s="36"/>
      <c r="B37" s="36"/>
      <c r="C37" s="37"/>
      <c r="D37" s="38"/>
      <c r="E37" s="39"/>
      <c r="F37" s="39"/>
      <c r="G37" s="16" t="str">
        <f>IF(AND(A37="",D37=""),"",IF(OR(A37="",B37="",C37="",D37=""),"FALTAN DATOS: Estación, Producto, Fecha y Litros son obligatorios",IF(COUNTIFS('Detalle diario'!$A$5:$A$550,A37,'Detalle diario'!$B$5:$B$550,B37,'Detalle diario'!$C$5:$C$550,C37)=0,"NO APLICA: no hay reporte de mermas de esa estación/producto en esa fecha",IF(E37&lt;&gt;"",IF(COUNTIFS('Detalle pipas'!$C$5:$C$281,E37,'Detalle pipas'!$A$5:$A$281,A37,'Detalle pipas'!$B$5:$B$281,B37,'Detalle pipas'!$N$5:$N$281,"NO REGISTRADA*")&gt;0,"APLICADO: registra la factura "&amp;E37,IF(COUNTIFS('Detalle pipas'!$C$5:$C$281,E37,'Detalle pipas'!$A$5:$A$281,A37,'Detalle pipas'!$B$5:$B$281,B37)&gt;0,"OJO: la factura "&amp;E37&amp;" ya estaba registrada; se estaría sumando doble","SIN PIPA: la factura "&amp;E37&amp;" no existe en PIPAS DEL MES para esa estación/producto")),IF(COUNTIFS('Detalle pipas'!$A$5:$A$281,A37,'Detalle pipas'!$B$5:$B$281,B37,'Detalle pipas'!$G$5:$G$281,"&gt;="&amp;(D37-Parámetros!$C$8),'Detalle pipas'!$G$5:$G$281,"&lt;="&amp;(D37+Parámetros!$C$8),'Detalle pipas'!$N$5:$N$281,"NO REGISTRADA*")&gt;0,"APLICADO: registra la pipa de "&amp;TEXT(D37,"#,##0")&amp;" L","SIN PIPA: no hay pipa pendiente con esos litros (revisa litros o pon la factura)")))))</f>
        <v/>
      </c>
    </row>
    <row r="38" spans="1:7" x14ac:dyDescent="0.3">
      <c r="A38" s="36"/>
      <c r="B38" s="36"/>
      <c r="C38" s="37"/>
      <c r="D38" s="38"/>
      <c r="E38" s="39"/>
      <c r="F38" s="39"/>
      <c r="G38" s="16" t="str">
        <f>IF(AND(A38="",D38=""),"",IF(OR(A38="",B38="",C38="",D38=""),"FALTAN DATOS: Estación, Producto, Fecha y Litros son obligatorios",IF(COUNTIFS('Detalle diario'!$A$5:$A$550,A38,'Detalle diario'!$B$5:$B$550,B38,'Detalle diario'!$C$5:$C$550,C38)=0,"NO APLICA: no hay reporte de mermas de esa estación/producto en esa fecha",IF(E38&lt;&gt;"",IF(COUNTIFS('Detalle pipas'!$C$5:$C$281,E38,'Detalle pipas'!$A$5:$A$281,A38,'Detalle pipas'!$B$5:$B$281,B38,'Detalle pipas'!$N$5:$N$281,"NO REGISTRADA*")&gt;0,"APLICADO: registra la factura "&amp;E38,IF(COUNTIFS('Detalle pipas'!$C$5:$C$281,E38,'Detalle pipas'!$A$5:$A$281,A38,'Detalle pipas'!$B$5:$B$281,B38)&gt;0,"OJO: la factura "&amp;E38&amp;" ya estaba registrada; se estaría sumando doble","SIN PIPA: la factura "&amp;E38&amp;" no existe en PIPAS DEL MES para esa estación/producto")),IF(COUNTIFS('Detalle pipas'!$A$5:$A$281,A38,'Detalle pipas'!$B$5:$B$281,B38,'Detalle pipas'!$G$5:$G$281,"&gt;="&amp;(D38-Parámetros!$C$8),'Detalle pipas'!$G$5:$G$281,"&lt;="&amp;(D38+Parámetros!$C$8),'Detalle pipas'!$N$5:$N$281,"NO REGISTRADA*")&gt;0,"APLICADO: registra la pipa de "&amp;TEXT(D38,"#,##0")&amp;" L","SIN PIPA: no hay pipa pendiente con esos litros (revisa litros o pon la factura)")))))</f>
        <v/>
      </c>
    </row>
    <row r="39" spans="1:7" x14ac:dyDescent="0.3">
      <c r="A39" s="36"/>
      <c r="B39" s="36"/>
      <c r="C39" s="37"/>
      <c r="D39" s="38"/>
      <c r="E39" s="39"/>
      <c r="F39" s="39"/>
      <c r="G39" s="16" t="str">
        <f>IF(AND(A39="",D39=""),"",IF(OR(A39="",B39="",C39="",D39=""),"FALTAN DATOS: Estación, Producto, Fecha y Litros son obligatorios",IF(COUNTIFS('Detalle diario'!$A$5:$A$550,A39,'Detalle diario'!$B$5:$B$550,B39,'Detalle diario'!$C$5:$C$550,C39)=0,"NO APLICA: no hay reporte de mermas de esa estación/producto en esa fecha",IF(E39&lt;&gt;"",IF(COUNTIFS('Detalle pipas'!$C$5:$C$281,E39,'Detalle pipas'!$A$5:$A$281,A39,'Detalle pipas'!$B$5:$B$281,B39,'Detalle pipas'!$N$5:$N$281,"NO REGISTRADA*")&gt;0,"APLICADO: registra la factura "&amp;E39,IF(COUNTIFS('Detalle pipas'!$C$5:$C$281,E39,'Detalle pipas'!$A$5:$A$281,A39,'Detalle pipas'!$B$5:$B$281,B39)&gt;0,"OJO: la factura "&amp;E39&amp;" ya estaba registrada; se estaría sumando doble","SIN PIPA: la factura "&amp;E39&amp;" no existe en PIPAS DEL MES para esa estación/producto")),IF(COUNTIFS('Detalle pipas'!$A$5:$A$281,A39,'Detalle pipas'!$B$5:$B$281,B39,'Detalle pipas'!$G$5:$G$281,"&gt;="&amp;(D39-Parámetros!$C$8),'Detalle pipas'!$G$5:$G$281,"&lt;="&amp;(D39+Parámetros!$C$8),'Detalle pipas'!$N$5:$N$281,"NO REGISTRADA*")&gt;0,"APLICADO: registra la pipa de "&amp;TEXT(D39,"#,##0")&amp;" L","SIN PIPA: no hay pipa pendiente con esos litros (revisa litros o pon la factura)")))))</f>
        <v/>
      </c>
    </row>
    <row r="40" spans="1:7" x14ac:dyDescent="0.3">
      <c r="A40" s="36"/>
      <c r="B40" s="36"/>
      <c r="C40" s="37"/>
      <c r="D40" s="38"/>
      <c r="E40" s="39"/>
      <c r="F40" s="39"/>
      <c r="G40" s="16" t="str">
        <f>IF(AND(A40="",D40=""),"",IF(OR(A40="",B40="",C40="",D40=""),"FALTAN DATOS: Estación, Producto, Fecha y Litros son obligatorios",IF(COUNTIFS('Detalle diario'!$A$5:$A$550,A40,'Detalle diario'!$B$5:$B$550,B40,'Detalle diario'!$C$5:$C$550,C40)=0,"NO APLICA: no hay reporte de mermas de esa estación/producto en esa fecha",IF(E40&lt;&gt;"",IF(COUNTIFS('Detalle pipas'!$C$5:$C$281,E40,'Detalle pipas'!$A$5:$A$281,A40,'Detalle pipas'!$B$5:$B$281,B40,'Detalle pipas'!$N$5:$N$281,"NO REGISTRADA*")&gt;0,"APLICADO: registra la factura "&amp;E40,IF(COUNTIFS('Detalle pipas'!$C$5:$C$281,E40,'Detalle pipas'!$A$5:$A$281,A40,'Detalle pipas'!$B$5:$B$281,B40)&gt;0,"OJO: la factura "&amp;E40&amp;" ya estaba registrada; se estaría sumando doble","SIN PIPA: la factura "&amp;E40&amp;" no existe en PIPAS DEL MES para esa estación/producto")),IF(COUNTIFS('Detalle pipas'!$A$5:$A$281,A40,'Detalle pipas'!$B$5:$B$281,B40,'Detalle pipas'!$G$5:$G$281,"&gt;="&amp;(D40-Parámetros!$C$8),'Detalle pipas'!$G$5:$G$281,"&lt;="&amp;(D40+Parámetros!$C$8),'Detalle pipas'!$N$5:$N$281,"NO REGISTRADA*")&gt;0,"APLICADO: registra la pipa de "&amp;TEXT(D40,"#,##0")&amp;" L","SIN PIPA: no hay pipa pendiente con esos litros (revisa litros o pon la factura)")))))</f>
        <v/>
      </c>
    </row>
    <row r="41" spans="1:7" x14ac:dyDescent="0.3">
      <c r="A41" s="36"/>
      <c r="B41" s="36"/>
      <c r="C41" s="37"/>
      <c r="D41" s="38"/>
      <c r="E41" s="39"/>
      <c r="F41" s="39"/>
      <c r="G41" s="16" t="str">
        <f>IF(AND(A41="",D41=""),"",IF(OR(A41="",B41="",C41="",D41=""),"FALTAN DATOS: Estación, Producto, Fecha y Litros son obligatorios",IF(COUNTIFS('Detalle diario'!$A$5:$A$550,A41,'Detalle diario'!$B$5:$B$550,B41,'Detalle diario'!$C$5:$C$550,C41)=0,"NO APLICA: no hay reporte de mermas de esa estación/producto en esa fecha",IF(E41&lt;&gt;"",IF(COUNTIFS('Detalle pipas'!$C$5:$C$281,E41,'Detalle pipas'!$A$5:$A$281,A41,'Detalle pipas'!$B$5:$B$281,B41,'Detalle pipas'!$N$5:$N$281,"NO REGISTRADA*")&gt;0,"APLICADO: registra la factura "&amp;E41,IF(COUNTIFS('Detalle pipas'!$C$5:$C$281,E41,'Detalle pipas'!$A$5:$A$281,A41,'Detalle pipas'!$B$5:$B$281,B41)&gt;0,"OJO: la factura "&amp;E41&amp;" ya estaba registrada; se estaría sumando doble","SIN PIPA: la factura "&amp;E41&amp;" no existe en PIPAS DEL MES para esa estación/producto")),IF(COUNTIFS('Detalle pipas'!$A$5:$A$281,A41,'Detalle pipas'!$B$5:$B$281,B41,'Detalle pipas'!$G$5:$G$281,"&gt;="&amp;(D41-Parámetros!$C$8),'Detalle pipas'!$G$5:$G$281,"&lt;="&amp;(D41+Parámetros!$C$8),'Detalle pipas'!$N$5:$N$281,"NO REGISTRADA*")&gt;0,"APLICADO: registra la pipa de "&amp;TEXT(D41,"#,##0")&amp;" L","SIN PIPA: no hay pipa pendiente con esos litros (revisa litros o pon la factura)")))))</f>
        <v/>
      </c>
    </row>
    <row r="42" spans="1:7" x14ac:dyDescent="0.3">
      <c r="A42" s="36"/>
      <c r="B42" s="36"/>
      <c r="C42" s="37"/>
      <c r="D42" s="38"/>
      <c r="E42" s="39"/>
      <c r="F42" s="39"/>
      <c r="G42" s="16" t="str">
        <f>IF(AND(A42="",D42=""),"",IF(OR(A42="",B42="",C42="",D42=""),"FALTAN DATOS: Estación, Producto, Fecha y Litros son obligatorios",IF(COUNTIFS('Detalle diario'!$A$5:$A$550,A42,'Detalle diario'!$B$5:$B$550,B42,'Detalle diario'!$C$5:$C$550,C42)=0,"NO APLICA: no hay reporte de mermas de esa estación/producto en esa fecha",IF(E42&lt;&gt;"",IF(COUNTIFS('Detalle pipas'!$C$5:$C$281,E42,'Detalle pipas'!$A$5:$A$281,A42,'Detalle pipas'!$B$5:$B$281,B42,'Detalle pipas'!$N$5:$N$281,"NO REGISTRADA*")&gt;0,"APLICADO: registra la factura "&amp;E42,IF(COUNTIFS('Detalle pipas'!$C$5:$C$281,E42,'Detalle pipas'!$A$5:$A$281,A42,'Detalle pipas'!$B$5:$B$281,B42)&gt;0,"OJO: la factura "&amp;E42&amp;" ya estaba registrada; se estaría sumando doble","SIN PIPA: la factura "&amp;E42&amp;" no existe en PIPAS DEL MES para esa estación/producto")),IF(COUNTIFS('Detalle pipas'!$A$5:$A$281,A42,'Detalle pipas'!$B$5:$B$281,B42,'Detalle pipas'!$G$5:$G$281,"&gt;="&amp;(D42-Parámetros!$C$8),'Detalle pipas'!$G$5:$G$281,"&lt;="&amp;(D42+Parámetros!$C$8),'Detalle pipas'!$N$5:$N$281,"NO REGISTRADA*")&gt;0,"APLICADO: registra la pipa de "&amp;TEXT(D42,"#,##0")&amp;" L","SIN PIPA: no hay pipa pendiente con esos litros (revisa litros o pon la factura)")))))</f>
        <v/>
      </c>
    </row>
    <row r="43" spans="1:7" x14ac:dyDescent="0.3">
      <c r="A43" s="36"/>
      <c r="B43" s="36"/>
      <c r="C43" s="37"/>
      <c r="D43" s="38"/>
      <c r="E43" s="39"/>
      <c r="F43" s="39"/>
      <c r="G43" s="16" t="str">
        <f>IF(AND(A43="",D43=""),"",IF(OR(A43="",B43="",C43="",D43=""),"FALTAN DATOS: Estación, Producto, Fecha y Litros son obligatorios",IF(COUNTIFS('Detalle diario'!$A$5:$A$550,A43,'Detalle diario'!$B$5:$B$550,B43,'Detalle diario'!$C$5:$C$550,C43)=0,"NO APLICA: no hay reporte de mermas de esa estación/producto en esa fecha",IF(E43&lt;&gt;"",IF(COUNTIFS('Detalle pipas'!$C$5:$C$281,E43,'Detalle pipas'!$A$5:$A$281,A43,'Detalle pipas'!$B$5:$B$281,B43,'Detalle pipas'!$N$5:$N$281,"NO REGISTRADA*")&gt;0,"APLICADO: registra la factura "&amp;E43,IF(COUNTIFS('Detalle pipas'!$C$5:$C$281,E43,'Detalle pipas'!$A$5:$A$281,A43,'Detalle pipas'!$B$5:$B$281,B43)&gt;0,"OJO: la factura "&amp;E43&amp;" ya estaba registrada; se estaría sumando doble","SIN PIPA: la factura "&amp;E43&amp;" no existe en PIPAS DEL MES para esa estación/producto")),IF(COUNTIFS('Detalle pipas'!$A$5:$A$281,A43,'Detalle pipas'!$B$5:$B$281,B43,'Detalle pipas'!$G$5:$G$281,"&gt;="&amp;(D43-Parámetros!$C$8),'Detalle pipas'!$G$5:$G$281,"&lt;="&amp;(D43+Parámetros!$C$8),'Detalle pipas'!$N$5:$N$281,"NO REGISTRADA*")&gt;0,"APLICADO: registra la pipa de "&amp;TEXT(D43,"#,##0")&amp;" L","SIN PIPA: no hay pipa pendiente con esos litros (revisa litros o pon la factura)")))))</f>
        <v/>
      </c>
    </row>
    <row r="44" spans="1:7" x14ac:dyDescent="0.3">
      <c r="A44" s="36"/>
      <c r="B44" s="36"/>
      <c r="C44" s="37"/>
      <c r="D44" s="38"/>
      <c r="E44" s="39"/>
      <c r="F44" s="39"/>
      <c r="G44" s="16" t="str">
        <f>IF(AND(A44="",D44=""),"",IF(OR(A44="",B44="",C44="",D44=""),"FALTAN DATOS: Estación, Producto, Fecha y Litros son obligatorios",IF(COUNTIFS('Detalle diario'!$A$5:$A$550,A44,'Detalle diario'!$B$5:$B$550,B44,'Detalle diario'!$C$5:$C$550,C44)=0,"NO APLICA: no hay reporte de mermas de esa estación/producto en esa fecha",IF(E44&lt;&gt;"",IF(COUNTIFS('Detalle pipas'!$C$5:$C$281,E44,'Detalle pipas'!$A$5:$A$281,A44,'Detalle pipas'!$B$5:$B$281,B44,'Detalle pipas'!$N$5:$N$281,"NO REGISTRADA*")&gt;0,"APLICADO: registra la factura "&amp;E44,IF(COUNTIFS('Detalle pipas'!$C$5:$C$281,E44,'Detalle pipas'!$A$5:$A$281,A44,'Detalle pipas'!$B$5:$B$281,B44)&gt;0,"OJO: la factura "&amp;E44&amp;" ya estaba registrada; se estaría sumando doble","SIN PIPA: la factura "&amp;E44&amp;" no existe en PIPAS DEL MES para esa estación/producto")),IF(COUNTIFS('Detalle pipas'!$A$5:$A$281,A44,'Detalle pipas'!$B$5:$B$281,B44,'Detalle pipas'!$G$5:$G$281,"&gt;="&amp;(D44-Parámetros!$C$8),'Detalle pipas'!$G$5:$G$281,"&lt;="&amp;(D44+Parámetros!$C$8),'Detalle pipas'!$N$5:$N$281,"NO REGISTRADA*")&gt;0,"APLICADO: registra la pipa de "&amp;TEXT(D44,"#,##0")&amp;" L","SIN PIPA: no hay pipa pendiente con esos litros (revisa litros o pon la factura)")))))</f>
        <v/>
      </c>
    </row>
    <row r="45" spans="1:7" x14ac:dyDescent="0.3">
      <c r="A45" s="36"/>
      <c r="B45" s="36"/>
      <c r="C45" s="37"/>
      <c r="D45" s="38"/>
      <c r="E45" s="39"/>
      <c r="F45" s="39"/>
      <c r="G45" s="16" t="str">
        <f>IF(AND(A45="",D45=""),"",IF(OR(A45="",B45="",C45="",D45=""),"FALTAN DATOS: Estación, Producto, Fecha y Litros son obligatorios",IF(COUNTIFS('Detalle diario'!$A$5:$A$550,A45,'Detalle diario'!$B$5:$B$550,B45,'Detalle diario'!$C$5:$C$550,C45)=0,"NO APLICA: no hay reporte de mermas de esa estación/producto en esa fecha",IF(E45&lt;&gt;"",IF(COUNTIFS('Detalle pipas'!$C$5:$C$281,E45,'Detalle pipas'!$A$5:$A$281,A45,'Detalle pipas'!$B$5:$B$281,B45,'Detalle pipas'!$N$5:$N$281,"NO REGISTRADA*")&gt;0,"APLICADO: registra la factura "&amp;E45,IF(COUNTIFS('Detalle pipas'!$C$5:$C$281,E45,'Detalle pipas'!$A$5:$A$281,A45,'Detalle pipas'!$B$5:$B$281,B45)&gt;0,"OJO: la factura "&amp;E45&amp;" ya estaba registrada; se estaría sumando doble","SIN PIPA: la factura "&amp;E45&amp;" no existe en PIPAS DEL MES para esa estación/producto")),IF(COUNTIFS('Detalle pipas'!$A$5:$A$281,A45,'Detalle pipas'!$B$5:$B$281,B45,'Detalle pipas'!$G$5:$G$281,"&gt;="&amp;(D45-Parámetros!$C$8),'Detalle pipas'!$G$5:$G$281,"&lt;="&amp;(D45+Parámetros!$C$8),'Detalle pipas'!$N$5:$N$281,"NO REGISTRADA*")&gt;0,"APLICADO: registra la pipa de "&amp;TEXT(D45,"#,##0")&amp;" L","SIN PIPA: no hay pipa pendiente con esos litros (revisa litros o pon la factura)")))))</f>
        <v/>
      </c>
    </row>
    <row r="46" spans="1:7" x14ac:dyDescent="0.3">
      <c r="A46" s="36"/>
      <c r="B46" s="36"/>
      <c r="C46" s="37"/>
      <c r="D46" s="38"/>
      <c r="E46" s="39"/>
      <c r="F46" s="39"/>
      <c r="G46" s="16" t="str">
        <f>IF(AND(A46="",D46=""),"",IF(OR(A46="",B46="",C46="",D46=""),"FALTAN DATOS: Estación, Producto, Fecha y Litros son obligatorios",IF(COUNTIFS('Detalle diario'!$A$5:$A$550,A46,'Detalle diario'!$B$5:$B$550,B46,'Detalle diario'!$C$5:$C$550,C46)=0,"NO APLICA: no hay reporte de mermas de esa estación/producto en esa fecha",IF(E46&lt;&gt;"",IF(COUNTIFS('Detalle pipas'!$C$5:$C$281,E46,'Detalle pipas'!$A$5:$A$281,A46,'Detalle pipas'!$B$5:$B$281,B46,'Detalle pipas'!$N$5:$N$281,"NO REGISTRADA*")&gt;0,"APLICADO: registra la factura "&amp;E46,IF(COUNTIFS('Detalle pipas'!$C$5:$C$281,E46,'Detalle pipas'!$A$5:$A$281,A46,'Detalle pipas'!$B$5:$B$281,B46)&gt;0,"OJO: la factura "&amp;E46&amp;" ya estaba registrada; se estaría sumando doble","SIN PIPA: la factura "&amp;E46&amp;" no existe en PIPAS DEL MES para esa estación/producto")),IF(COUNTIFS('Detalle pipas'!$A$5:$A$281,A46,'Detalle pipas'!$B$5:$B$281,B46,'Detalle pipas'!$G$5:$G$281,"&gt;="&amp;(D46-Parámetros!$C$8),'Detalle pipas'!$G$5:$G$281,"&lt;="&amp;(D46+Parámetros!$C$8),'Detalle pipas'!$N$5:$N$281,"NO REGISTRADA*")&gt;0,"APLICADO: registra la pipa de "&amp;TEXT(D46,"#,##0")&amp;" L","SIN PIPA: no hay pipa pendiente con esos litros (revisa litros o pon la factura)")))))</f>
        <v/>
      </c>
    </row>
    <row r="47" spans="1:7" x14ac:dyDescent="0.3">
      <c r="A47" s="36"/>
      <c r="B47" s="36"/>
      <c r="C47" s="37"/>
      <c r="D47" s="38"/>
      <c r="E47" s="39"/>
      <c r="F47" s="39"/>
      <c r="G47" s="16" t="str">
        <f>IF(AND(A47="",D47=""),"",IF(OR(A47="",B47="",C47="",D47=""),"FALTAN DATOS: Estación, Producto, Fecha y Litros son obligatorios",IF(COUNTIFS('Detalle diario'!$A$5:$A$550,A47,'Detalle diario'!$B$5:$B$550,B47,'Detalle diario'!$C$5:$C$550,C47)=0,"NO APLICA: no hay reporte de mermas de esa estación/producto en esa fecha",IF(E47&lt;&gt;"",IF(COUNTIFS('Detalle pipas'!$C$5:$C$281,E47,'Detalle pipas'!$A$5:$A$281,A47,'Detalle pipas'!$B$5:$B$281,B47,'Detalle pipas'!$N$5:$N$281,"NO REGISTRADA*")&gt;0,"APLICADO: registra la factura "&amp;E47,IF(COUNTIFS('Detalle pipas'!$C$5:$C$281,E47,'Detalle pipas'!$A$5:$A$281,A47,'Detalle pipas'!$B$5:$B$281,B47)&gt;0,"OJO: la factura "&amp;E47&amp;" ya estaba registrada; se estaría sumando doble","SIN PIPA: la factura "&amp;E47&amp;" no existe en PIPAS DEL MES para esa estación/producto")),IF(COUNTIFS('Detalle pipas'!$A$5:$A$281,A47,'Detalle pipas'!$B$5:$B$281,B47,'Detalle pipas'!$G$5:$G$281,"&gt;="&amp;(D47-Parámetros!$C$8),'Detalle pipas'!$G$5:$G$281,"&lt;="&amp;(D47+Parámetros!$C$8),'Detalle pipas'!$N$5:$N$281,"NO REGISTRADA*")&gt;0,"APLICADO: registra la pipa de "&amp;TEXT(D47,"#,##0")&amp;" L","SIN PIPA: no hay pipa pendiente con esos litros (revisa litros o pon la factura)")))))</f>
        <v/>
      </c>
    </row>
    <row r="48" spans="1:7" x14ac:dyDescent="0.3">
      <c r="A48" s="36"/>
      <c r="B48" s="36"/>
      <c r="C48" s="37"/>
      <c r="D48" s="38"/>
      <c r="E48" s="39"/>
      <c r="F48" s="39"/>
      <c r="G48" s="16" t="str">
        <f>IF(AND(A48="",D48=""),"",IF(OR(A48="",B48="",C48="",D48=""),"FALTAN DATOS: Estación, Producto, Fecha y Litros son obligatorios",IF(COUNTIFS('Detalle diario'!$A$5:$A$550,A48,'Detalle diario'!$B$5:$B$550,B48,'Detalle diario'!$C$5:$C$550,C48)=0,"NO APLICA: no hay reporte de mermas de esa estación/producto en esa fecha",IF(E48&lt;&gt;"",IF(COUNTIFS('Detalle pipas'!$C$5:$C$281,E48,'Detalle pipas'!$A$5:$A$281,A48,'Detalle pipas'!$B$5:$B$281,B48,'Detalle pipas'!$N$5:$N$281,"NO REGISTRADA*")&gt;0,"APLICADO: registra la factura "&amp;E48,IF(COUNTIFS('Detalle pipas'!$C$5:$C$281,E48,'Detalle pipas'!$A$5:$A$281,A48,'Detalle pipas'!$B$5:$B$281,B48)&gt;0,"OJO: la factura "&amp;E48&amp;" ya estaba registrada; se estaría sumando doble","SIN PIPA: la factura "&amp;E48&amp;" no existe en PIPAS DEL MES para esa estación/producto")),IF(COUNTIFS('Detalle pipas'!$A$5:$A$281,A48,'Detalle pipas'!$B$5:$B$281,B48,'Detalle pipas'!$G$5:$G$281,"&gt;="&amp;(D48-Parámetros!$C$8),'Detalle pipas'!$G$5:$G$281,"&lt;="&amp;(D48+Parámetros!$C$8),'Detalle pipas'!$N$5:$N$281,"NO REGISTRADA*")&gt;0,"APLICADO: registra la pipa de "&amp;TEXT(D48,"#,##0")&amp;" L","SIN PIPA: no hay pipa pendiente con esos litros (revisa litros o pon la factura)")))))</f>
        <v/>
      </c>
    </row>
    <row r="49" spans="1:7" x14ac:dyDescent="0.3">
      <c r="A49" s="36"/>
      <c r="B49" s="36"/>
      <c r="C49" s="37"/>
      <c r="D49" s="38"/>
      <c r="E49" s="39"/>
      <c r="F49" s="39"/>
      <c r="G49" s="16" t="str">
        <f>IF(AND(A49="",D49=""),"",IF(OR(A49="",B49="",C49="",D49=""),"FALTAN DATOS: Estación, Producto, Fecha y Litros son obligatorios",IF(COUNTIFS('Detalle diario'!$A$5:$A$550,A49,'Detalle diario'!$B$5:$B$550,B49,'Detalle diario'!$C$5:$C$550,C49)=0,"NO APLICA: no hay reporte de mermas de esa estación/producto en esa fecha",IF(E49&lt;&gt;"",IF(COUNTIFS('Detalle pipas'!$C$5:$C$281,E49,'Detalle pipas'!$A$5:$A$281,A49,'Detalle pipas'!$B$5:$B$281,B49,'Detalle pipas'!$N$5:$N$281,"NO REGISTRADA*")&gt;0,"APLICADO: registra la factura "&amp;E49,IF(COUNTIFS('Detalle pipas'!$C$5:$C$281,E49,'Detalle pipas'!$A$5:$A$281,A49,'Detalle pipas'!$B$5:$B$281,B49)&gt;0,"OJO: la factura "&amp;E49&amp;" ya estaba registrada; se estaría sumando doble","SIN PIPA: la factura "&amp;E49&amp;" no existe en PIPAS DEL MES para esa estación/producto")),IF(COUNTIFS('Detalle pipas'!$A$5:$A$281,A49,'Detalle pipas'!$B$5:$B$281,B49,'Detalle pipas'!$G$5:$G$281,"&gt;="&amp;(D49-Parámetros!$C$8),'Detalle pipas'!$G$5:$G$281,"&lt;="&amp;(D49+Parámetros!$C$8),'Detalle pipas'!$N$5:$N$281,"NO REGISTRADA*")&gt;0,"APLICADO: registra la pipa de "&amp;TEXT(D49,"#,##0")&amp;" L","SIN PIPA: no hay pipa pendiente con esos litros (revisa litros o pon la factura)")))))</f>
        <v/>
      </c>
    </row>
    <row r="50" spans="1:7" x14ac:dyDescent="0.3">
      <c r="A50" s="36"/>
      <c r="B50" s="36"/>
      <c r="C50" s="37"/>
      <c r="D50" s="38"/>
      <c r="E50" s="39"/>
      <c r="F50" s="39"/>
      <c r="G50" s="16" t="str">
        <f>IF(AND(A50="",D50=""),"",IF(OR(A50="",B50="",C50="",D50=""),"FALTAN DATOS: Estación, Producto, Fecha y Litros son obligatorios",IF(COUNTIFS('Detalle diario'!$A$5:$A$550,A50,'Detalle diario'!$B$5:$B$550,B50,'Detalle diario'!$C$5:$C$550,C50)=0,"NO APLICA: no hay reporte de mermas de esa estación/producto en esa fecha",IF(E50&lt;&gt;"",IF(COUNTIFS('Detalle pipas'!$C$5:$C$281,E50,'Detalle pipas'!$A$5:$A$281,A50,'Detalle pipas'!$B$5:$B$281,B50,'Detalle pipas'!$N$5:$N$281,"NO REGISTRADA*")&gt;0,"APLICADO: registra la factura "&amp;E50,IF(COUNTIFS('Detalle pipas'!$C$5:$C$281,E50,'Detalle pipas'!$A$5:$A$281,A50,'Detalle pipas'!$B$5:$B$281,B50)&gt;0,"OJO: la factura "&amp;E50&amp;" ya estaba registrada; se estaría sumando doble","SIN PIPA: la factura "&amp;E50&amp;" no existe en PIPAS DEL MES para esa estación/producto")),IF(COUNTIFS('Detalle pipas'!$A$5:$A$281,A50,'Detalle pipas'!$B$5:$B$281,B50,'Detalle pipas'!$G$5:$G$281,"&gt;="&amp;(D50-Parámetros!$C$8),'Detalle pipas'!$G$5:$G$281,"&lt;="&amp;(D50+Parámetros!$C$8),'Detalle pipas'!$N$5:$N$281,"NO REGISTRADA*")&gt;0,"APLICADO: registra la pipa de "&amp;TEXT(D50,"#,##0")&amp;" L","SIN PIPA: no hay pipa pendiente con esos litros (revisa litros o pon la factura)")))))</f>
        <v/>
      </c>
    </row>
    <row r="51" spans="1:7" x14ac:dyDescent="0.3">
      <c r="A51" s="36"/>
      <c r="B51" s="36"/>
      <c r="C51" s="37"/>
      <c r="D51" s="38"/>
      <c r="E51" s="39"/>
      <c r="F51" s="39"/>
      <c r="G51" s="16" t="str">
        <f>IF(AND(A51="",D51=""),"",IF(OR(A51="",B51="",C51="",D51=""),"FALTAN DATOS: Estación, Producto, Fecha y Litros son obligatorios",IF(COUNTIFS('Detalle diario'!$A$5:$A$550,A51,'Detalle diario'!$B$5:$B$550,B51,'Detalle diario'!$C$5:$C$550,C51)=0,"NO APLICA: no hay reporte de mermas de esa estación/producto en esa fecha",IF(E51&lt;&gt;"",IF(COUNTIFS('Detalle pipas'!$C$5:$C$281,E51,'Detalle pipas'!$A$5:$A$281,A51,'Detalle pipas'!$B$5:$B$281,B51,'Detalle pipas'!$N$5:$N$281,"NO REGISTRADA*")&gt;0,"APLICADO: registra la factura "&amp;E51,IF(COUNTIFS('Detalle pipas'!$C$5:$C$281,E51,'Detalle pipas'!$A$5:$A$281,A51,'Detalle pipas'!$B$5:$B$281,B51)&gt;0,"OJO: la factura "&amp;E51&amp;" ya estaba registrada; se estaría sumando doble","SIN PIPA: la factura "&amp;E51&amp;" no existe en PIPAS DEL MES para esa estación/producto")),IF(COUNTIFS('Detalle pipas'!$A$5:$A$281,A51,'Detalle pipas'!$B$5:$B$281,B51,'Detalle pipas'!$G$5:$G$281,"&gt;="&amp;(D51-Parámetros!$C$8),'Detalle pipas'!$G$5:$G$281,"&lt;="&amp;(D51+Parámetros!$C$8),'Detalle pipas'!$N$5:$N$281,"NO REGISTRADA*")&gt;0,"APLICADO: registra la pipa de "&amp;TEXT(D51,"#,##0")&amp;" L","SIN PIPA: no hay pipa pendiente con esos litros (revisa litros o pon la factura)")))))</f>
        <v/>
      </c>
    </row>
    <row r="52" spans="1:7" x14ac:dyDescent="0.3">
      <c r="A52" s="36"/>
      <c r="B52" s="36"/>
      <c r="C52" s="37"/>
      <c r="D52" s="38"/>
      <c r="E52" s="39"/>
      <c r="F52" s="39"/>
      <c r="G52" s="16" t="str">
        <f>IF(AND(A52="",D52=""),"",IF(OR(A52="",B52="",C52="",D52=""),"FALTAN DATOS: Estación, Producto, Fecha y Litros son obligatorios",IF(COUNTIFS('Detalle diario'!$A$5:$A$550,A52,'Detalle diario'!$B$5:$B$550,B52,'Detalle diario'!$C$5:$C$550,C52)=0,"NO APLICA: no hay reporte de mermas de esa estación/producto en esa fecha",IF(E52&lt;&gt;"",IF(COUNTIFS('Detalle pipas'!$C$5:$C$281,E52,'Detalle pipas'!$A$5:$A$281,A52,'Detalle pipas'!$B$5:$B$281,B52,'Detalle pipas'!$N$5:$N$281,"NO REGISTRADA*")&gt;0,"APLICADO: registra la factura "&amp;E52,IF(COUNTIFS('Detalle pipas'!$C$5:$C$281,E52,'Detalle pipas'!$A$5:$A$281,A52,'Detalle pipas'!$B$5:$B$281,B52)&gt;0,"OJO: la factura "&amp;E52&amp;" ya estaba registrada; se estaría sumando doble","SIN PIPA: la factura "&amp;E52&amp;" no existe en PIPAS DEL MES para esa estación/producto")),IF(COUNTIFS('Detalle pipas'!$A$5:$A$281,A52,'Detalle pipas'!$B$5:$B$281,B52,'Detalle pipas'!$G$5:$G$281,"&gt;="&amp;(D52-Parámetros!$C$8),'Detalle pipas'!$G$5:$G$281,"&lt;="&amp;(D52+Parámetros!$C$8),'Detalle pipas'!$N$5:$N$281,"NO REGISTRADA*")&gt;0,"APLICADO: registra la pipa de "&amp;TEXT(D52,"#,##0")&amp;" L","SIN PIPA: no hay pipa pendiente con esos litros (revisa litros o pon la factura)")))))</f>
        <v/>
      </c>
    </row>
    <row r="53" spans="1:7" x14ac:dyDescent="0.3">
      <c r="A53" s="36"/>
      <c r="B53" s="36"/>
      <c r="C53" s="37"/>
      <c r="D53" s="38"/>
      <c r="E53" s="39"/>
      <c r="F53" s="39"/>
      <c r="G53" s="16" t="str">
        <f>IF(AND(A53="",D53=""),"",IF(OR(A53="",B53="",C53="",D53=""),"FALTAN DATOS: Estación, Producto, Fecha y Litros son obligatorios",IF(COUNTIFS('Detalle diario'!$A$5:$A$550,A53,'Detalle diario'!$B$5:$B$550,B53,'Detalle diario'!$C$5:$C$550,C53)=0,"NO APLICA: no hay reporte de mermas de esa estación/producto en esa fecha",IF(E53&lt;&gt;"",IF(COUNTIFS('Detalle pipas'!$C$5:$C$281,E53,'Detalle pipas'!$A$5:$A$281,A53,'Detalle pipas'!$B$5:$B$281,B53,'Detalle pipas'!$N$5:$N$281,"NO REGISTRADA*")&gt;0,"APLICADO: registra la factura "&amp;E53,IF(COUNTIFS('Detalle pipas'!$C$5:$C$281,E53,'Detalle pipas'!$A$5:$A$281,A53,'Detalle pipas'!$B$5:$B$281,B53)&gt;0,"OJO: la factura "&amp;E53&amp;" ya estaba registrada; se estaría sumando doble","SIN PIPA: la factura "&amp;E53&amp;" no existe en PIPAS DEL MES para esa estación/producto")),IF(COUNTIFS('Detalle pipas'!$A$5:$A$281,A53,'Detalle pipas'!$B$5:$B$281,B53,'Detalle pipas'!$G$5:$G$281,"&gt;="&amp;(D53-Parámetros!$C$8),'Detalle pipas'!$G$5:$G$281,"&lt;="&amp;(D53+Parámetros!$C$8),'Detalle pipas'!$N$5:$N$281,"NO REGISTRADA*")&gt;0,"APLICADO: registra la pipa de "&amp;TEXT(D53,"#,##0")&amp;" L","SIN PIPA: no hay pipa pendiente con esos litros (revisa litros o pon la factura)")))))</f>
        <v/>
      </c>
    </row>
    <row r="54" spans="1:7" x14ac:dyDescent="0.3">
      <c r="A54" s="36"/>
      <c r="B54" s="36"/>
      <c r="C54" s="37"/>
      <c r="D54" s="38"/>
      <c r="E54" s="39"/>
      <c r="F54" s="39"/>
      <c r="G54" s="16" t="str">
        <f>IF(AND(A54="",D54=""),"",IF(OR(A54="",B54="",C54="",D54=""),"FALTAN DATOS: Estación, Producto, Fecha y Litros son obligatorios",IF(COUNTIFS('Detalle diario'!$A$5:$A$550,A54,'Detalle diario'!$B$5:$B$550,B54,'Detalle diario'!$C$5:$C$550,C54)=0,"NO APLICA: no hay reporte de mermas de esa estación/producto en esa fecha",IF(E54&lt;&gt;"",IF(COUNTIFS('Detalle pipas'!$C$5:$C$281,E54,'Detalle pipas'!$A$5:$A$281,A54,'Detalle pipas'!$B$5:$B$281,B54,'Detalle pipas'!$N$5:$N$281,"NO REGISTRADA*")&gt;0,"APLICADO: registra la factura "&amp;E54,IF(COUNTIFS('Detalle pipas'!$C$5:$C$281,E54,'Detalle pipas'!$A$5:$A$281,A54,'Detalle pipas'!$B$5:$B$281,B54)&gt;0,"OJO: la factura "&amp;E54&amp;" ya estaba registrada; se estaría sumando doble","SIN PIPA: la factura "&amp;E54&amp;" no existe en PIPAS DEL MES para esa estación/producto")),IF(COUNTIFS('Detalle pipas'!$A$5:$A$281,A54,'Detalle pipas'!$B$5:$B$281,B54,'Detalle pipas'!$G$5:$G$281,"&gt;="&amp;(D54-Parámetros!$C$8),'Detalle pipas'!$G$5:$G$281,"&lt;="&amp;(D54+Parámetros!$C$8),'Detalle pipas'!$N$5:$N$281,"NO REGISTRADA*")&gt;0,"APLICADO: registra la pipa de "&amp;TEXT(D54,"#,##0")&amp;" L","SIN PIPA: no hay pipa pendiente con esos litros (revisa litros o pon la factura)")))))</f>
        <v/>
      </c>
    </row>
    <row r="55" spans="1:7" x14ac:dyDescent="0.3">
      <c r="A55" s="36"/>
      <c r="B55" s="36"/>
      <c r="C55" s="37"/>
      <c r="D55" s="38"/>
      <c r="E55" s="39"/>
      <c r="F55" s="39"/>
      <c r="G55" s="16" t="str">
        <f>IF(AND(A55="",D55=""),"",IF(OR(A55="",B55="",C55="",D55=""),"FALTAN DATOS: Estación, Producto, Fecha y Litros son obligatorios",IF(COUNTIFS('Detalle diario'!$A$5:$A$550,A55,'Detalle diario'!$B$5:$B$550,B55,'Detalle diario'!$C$5:$C$550,C55)=0,"NO APLICA: no hay reporte de mermas de esa estación/producto en esa fecha",IF(E55&lt;&gt;"",IF(COUNTIFS('Detalle pipas'!$C$5:$C$281,E55,'Detalle pipas'!$A$5:$A$281,A55,'Detalle pipas'!$B$5:$B$281,B55,'Detalle pipas'!$N$5:$N$281,"NO REGISTRADA*")&gt;0,"APLICADO: registra la factura "&amp;E55,IF(COUNTIFS('Detalle pipas'!$C$5:$C$281,E55,'Detalle pipas'!$A$5:$A$281,A55,'Detalle pipas'!$B$5:$B$281,B55)&gt;0,"OJO: la factura "&amp;E55&amp;" ya estaba registrada; se estaría sumando doble","SIN PIPA: la factura "&amp;E55&amp;" no existe en PIPAS DEL MES para esa estación/producto")),IF(COUNTIFS('Detalle pipas'!$A$5:$A$281,A55,'Detalle pipas'!$B$5:$B$281,B55,'Detalle pipas'!$G$5:$G$281,"&gt;="&amp;(D55-Parámetros!$C$8),'Detalle pipas'!$G$5:$G$281,"&lt;="&amp;(D55+Parámetros!$C$8),'Detalle pipas'!$N$5:$N$281,"NO REGISTRADA*")&gt;0,"APLICADO: registra la pipa de "&amp;TEXT(D55,"#,##0")&amp;" L","SIN PIPA: no hay pipa pendiente con esos litros (revisa litros o pon la factura)")))))</f>
        <v/>
      </c>
    </row>
    <row r="56" spans="1:7" x14ac:dyDescent="0.3">
      <c r="A56" s="36"/>
      <c r="B56" s="36"/>
      <c r="C56" s="37"/>
      <c r="D56" s="38"/>
      <c r="E56" s="39"/>
      <c r="F56" s="39"/>
      <c r="G56" s="16" t="str">
        <f>IF(AND(A56="",D56=""),"",IF(OR(A56="",B56="",C56="",D56=""),"FALTAN DATOS: Estación, Producto, Fecha y Litros son obligatorios",IF(COUNTIFS('Detalle diario'!$A$5:$A$550,A56,'Detalle diario'!$B$5:$B$550,B56,'Detalle diario'!$C$5:$C$550,C56)=0,"NO APLICA: no hay reporte de mermas de esa estación/producto en esa fecha",IF(E56&lt;&gt;"",IF(COUNTIFS('Detalle pipas'!$C$5:$C$281,E56,'Detalle pipas'!$A$5:$A$281,A56,'Detalle pipas'!$B$5:$B$281,B56,'Detalle pipas'!$N$5:$N$281,"NO REGISTRADA*")&gt;0,"APLICADO: registra la factura "&amp;E56,IF(COUNTIFS('Detalle pipas'!$C$5:$C$281,E56,'Detalle pipas'!$A$5:$A$281,A56,'Detalle pipas'!$B$5:$B$281,B56)&gt;0,"OJO: la factura "&amp;E56&amp;" ya estaba registrada; se estaría sumando doble","SIN PIPA: la factura "&amp;E56&amp;" no existe en PIPAS DEL MES para esa estación/producto")),IF(COUNTIFS('Detalle pipas'!$A$5:$A$281,A56,'Detalle pipas'!$B$5:$B$281,B56,'Detalle pipas'!$G$5:$G$281,"&gt;="&amp;(D56-Parámetros!$C$8),'Detalle pipas'!$G$5:$G$281,"&lt;="&amp;(D56+Parámetros!$C$8),'Detalle pipas'!$N$5:$N$281,"NO REGISTRADA*")&gt;0,"APLICADO: registra la pipa de "&amp;TEXT(D56,"#,##0")&amp;" L","SIN PIPA: no hay pipa pendiente con esos litros (revisa litros o pon la factura)")))))</f>
        <v/>
      </c>
    </row>
    <row r="57" spans="1:7" x14ac:dyDescent="0.3">
      <c r="A57" s="36"/>
      <c r="B57" s="36"/>
      <c r="C57" s="37"/>
      <c r="D57" s="38"/>
      <c r="E57" s="39"/>
      <c r="F57" s="39"/>
      <c r="G57" s="16" t="str">
        <f>IF(AND(A57="",D57=""),"",IF(OR(A57="",B57="",C57="",D57=""),"FALTAN DATOS: Estación, Producto, Fecha y Litros son obligatorios",IF(COUNTIFS('Detalle diario'!$A$5:$A$550,A57,'Detalle diario'!$B$5:$B$550,B57,'Detalle diario'!$C$5:$C$550,C57)=0,"NO APLICA: no hay reporte de mermas de esa estación/producto en esa fecha",IF(E57&lt;&gt;"",IF(COUNTIFS('Detalle pipas'!$C$5:$C$281,E57,'Detalle pipas'!$A$5:$A$281,A57,'Detalle pipas'!$B$5:$B$281,B57,'Detalle pipas'!$N$5:$N$281,"NO REGISTRADA*")&gt;0,"APLICADO: registra la factura "&amp;E57,IF(COUNTIFS('Detalle pipas'!$C$5:$C$281,E57,'Detalle pipas'!$A$5:$A$281,A57,'Detalle pipas'!$B$5:$B$281,B57)&gt;0,"OJO: la factura "&amp;E57&amp;" ya estaba registrada; se estaría sumando doble","SIN PIPA: la factura "&amp;E57&amp;" no existe en PIPAS DEL MES para esa estación/producto")),IF(COUNTIFS('Detalle pipas'!$A$5:$A$281,A57,'Detalle pipas'!$B$5:$B$281,B57,'Detalle pipas'!$G$5:$G$281,"&gt;="&amp;(D57-Parámetros!$C$8),'Detalle pipas'!$G$5:$G$281,"&lt;="&amp;(D57+Parámetros!$C$8),'Detalle pipas'!$N$5:$N$281,"NO REGISTRADA*")&gt;0,"APLICADO: registra la pipa de "&amp;TEXT(D57,"#,##0")&amp;" L","SIN PIPA: no hay pipa pendiente con esos litros (revisa litros o pon la factura)")))))</f>
        <v/>
      </c>
    </row>
    <row r="58" spans="1:7" x14ac:dyDescent="0.3">
      <c r="A58" s="36"/>
      <c r="B58" s="36"/>
      <c r="C58" s="37"/>
      <c r="D58" s="38"/>
      <c r="E58" s="39"/>
      <c r="F58" s="39"/>
      <c r="G58" s="16" t="str">
        <f>IF(AND(A58="",D58=""),"",IF(OR(A58="",B58="",C58="",D58=""),"FALTAN DATOS: Estación, Producto, Fecha y Litros son obligatorios",IF(COUNTIFS('Detalle diario'!$A$5:$A$550,A58,'Detalle diario'!$B$5:$B$550,B58,'Detalle diario'!$C$5:$C$550,C58)=0,"NO APLICA: no hay reporte de mermas de esa estación/producto en esa fecha",IF(E58&lt;&gt;"",IF(COUNTIFS('Detalle pipas'!$C$5:$C$281,E58,'Detalle pipas'!$A$5:$A$281,A58,'Detalle pipas'!$B$5:$B$281,B58,'Detalle pipas'!$N$5:$N$281,"NO REGISTRADA*")&gt;0,"APLICADO: registra la factura "&amp;E58,IF(COUNTIFS('Detalle pipas'!$C$5:$C$281,E58,'Detalle pipas'!$A$5:$A$281,A58,'Detalle pipas'!$B$5:$B$281,B58)&gt;0,"OJO: la factura "&amp;E58&amp;" ya estaba registrada; se estaría sumando doble","SIN PIPA: la factura "&amp;E58&amp;" no existe en PIPAS DEL MES para esa estación/producto")),IF(COUNTIFS('Detalle pipas'!$A$5:$A$281,A58,'Detalle pipas'!$B$5:$B$281,B58,'Detalle pipas'!$G$5:$G$281,"&gt;="&amp;(D58-Parámetros!$C$8),'Detalle pipas'!$G$5:$G$281,"&lt;="&amp;(D58+Parámetros!$C$8),'Detalle pipas'!$N$5:$N$281,"NO REGISTRADA*")&gt;0,"APLICADO: registra la pipa de "&amp;TEXT(D58,"#,##0")&amp;" L","SIN PIPA: no hay pipa pendiente con esos litros (revisa litros o pon la factura)")))))</f>
        <v/>
      </c>
    </row>
    <row r="59" spans="1:7" x14ac:dyDescent="0.3">
      <c r="A59" s="36"/>
      <c r="B59" s="36"/>
      <c r="C59" s="37"/>
      <c r="D59" s="38"/>
      <c r="E59" s="39"/>
      <c r="F59" s="39"/>
      <c r="G59" s="16" t="str">
        <f>IF(AND(A59="",D59=""),"",IF(OR(A59="",B59="",C59="",D59=""),"FALTAN DATOS: Estación, Producto, Fecha y Litros son obligatorios",IF(COUNTIFS('Detalle diario'!$A$5:$A$550,A59,'Detalle diario'!$B$5:$B$550,B59,'Detalle diario'!$C$5:$C$550,C59)=0,"NO APLICA: no hay reporte de mermas de esa estación/producto en esa fecha",IF(E59&lt;&gt;"",IF(COUNTIFS('Detalle pipas'!$C$5:$C$281,E59,'Detalle pipas'!$A$5:$A$281,A59,'Detalle pipas'!$B$5:$B$281,B59,'Detalle pipas'!$N$5:$N$281,"NO REGISTRADA*")&gt;0,"APLICADO: registra la factura "&amp;E59,IF(COUNTIFS('Detalle pipas'!$C$5:$C$281,E59,'Detalle pipas'!$A$5:$A$281,A59,'Detalle pipas'!$B$5:$B$281,B59)&gt;0,"OJO: la factura "&amp;E59&amp;" ya estaba registrada; se estaría sumando doble","SIN PIPA: la factura "&amp;E59&amp;" no existe en PIPAS DEL MES para esa estación/producto")),IF(COUNTIFS('Detalle pipas'!$A$5:$A$281,A59,'Detalle pipas'!$B$5:$B$281,B59,'Detalle pipas'!$G$5:$G$281,"&gt;="&amp;(D59-Parámetros!$C$8),'Detalle pipas'!$G$5:$G$281,"&lt;="&amp;(D59+Parámetros!$C$8),'Detalle pipas'!$N$5:$N$281,"NO REGISTRADA*")&gt;0,"APLICADO: registra la pipa de "&amp;TEXT(D59,"#,##0")&amp;" L","SIN PIPA: no hay pipa pendiente con esos litros (revisa litros o pon la factura)")))))</f>
        <v/>
      </c>
    </row>
    <row r="60" spans="1:7" x14ac:dyDescent="0.3">
      <c r="A60" s="36"/>
      <c r="B60" s="36"/>
      <c r="C60" s="37"/>
      <c r="D60" s="38"/>
      <c r="E60" s="39"/>
      <c r="F60" s="39"/>
      <c r="G60" s="16" t="str">
        <f>IF(AND(A60="",D60=""),"",IF(OR(A60="",B60="",C60="",D60=""),"FALTAN DATOS: Estación, Producto, Fecha y Litros son obligatorios",IF(COUNTIFS('Detalle diario'!$A$5:$A$550,A60,'Detalle diario'!$B$5:$B$550,B60,'Detalle diario'!$C$5:$C$550,C60)=0,"NO APLICA: no hay reporte de mermas de esa estación/producto en esa fecha",IF(E60&lt;&gt;"",IF(COUNTIFS('Detalle pipas'!$C$5:$C$281,E60,'Detalle pipas'!$A$5:$A$281,A60,'Detalle pipas'!$B$5:$B$281,B60,'Detalle pipas'!$N$5:$N$281,"NO REGISTRADA*")&gt;0,"APLICADO: registra la factura "&amp;E60,IF(COUNTIFS('Detalle pipas'!$C$5:$C$281,E60,'Detalle pipas'!$A$5:$A$281,A60,'Detalle pipas'!$B$5:$B$281,B60)&gt;0,"OJO: la factura "&amp;E60&amp;" ya estaba registrada; se estaría sumando doble","SIN PIPA: la factura "&amp;E60&amp;" no existe en PIPAS DEL MES para esa estación/producto")),IF(COUNTIFS('Detalle pipas'!$A$5:$A$281,A60,'Detalle pipas'!$B$5:$B$281,B60,'Detalle pipas'!$G$5:$G$281,"&gt;="&amp;(D60-Parámetros!$C$8),'Detalle pipas'!$G$5:$G$281,"&lt;="&amp;(D60+Parámetros!$C$8),'Detalle pipas'!$N$5:$N$281,"NO REGISTRADA*")&gt;0,"APLICADO: registra la pipa de "&amp;TEXT(D60,"#,##0")&amp;" L","SIN PIPA: no hay pipa pendiente con esos litros (revisa litros o pon la factura)")))))</f>
        <v/>
      </c>
    </row>
    <row r="61" spans="1:7" x14ac:dyDescent="0.3">
      <c r="A61" s="36"/>
      <c r="B61" s="36"/>
      <c r="C61" s="37"/>
      <c r="D61" s="38"/>
      <c r="E61" s="39"/>
      <c r="F61" s="39"/>
      <c r="G61" s="16" t="str">
        <f>IF(AND(A61="",D61=""),"",IF(OR(A61="",B61="",C61="",D61=""),"FALTAN DATOS: Estación, Producto, Fecha y Litros son obligatorios",IF(COUNTIFS('Detalle diario'!$A$5:$A$550,A61,'Detalle diario'!$B$5:$B$550,B61,'Detalle diario'!$C$5:$C$550,C61)=0,"NO APLICA: no hay reporte de mermas de esa estación/producto en esa fecha",IF(E61&lt;&gt;"",IF(COUNTIFS('Detalle pipas'!$C$5:$C$281,E61,'Detalle pipas'!$A$5:$A$281,A61,'Detalle pipas'!$B$5:$B$281,B61,'Detalle pipas'!$N$5:$N$281,"NO REGISTRADA*")&gt;0,"APLICADO: registra la factura "&amp;E61,IF(COUNTIFS('Detalle pipas'!$C$5:$C$281,E61,'Detalle pipas'!$A$5:$A$281,A61,'Detalle pipas'!$B$5:$B$281,B61)&gt;0,"OJO: la factura "&amp;E61&amp;" ya estaba registrada; se estaría sumando doble","SIN PIPA: la factura "&amp;E61&amp;" no existe en PIPAS DEL MES para esa estación/producto")),IF(COUNTIFS('Detalle pipas'!$A$5:$A$281,A61,'Detalle pipas'!$B$5:$B$281,B61,'Detalle pipas'!$G$5:$G$281,"&gt;="&amp;(D61-Parámetros!$C$8),'Detalle pipas'!$G$5:$G$281,"&lt;="&amp;(D61+Parámetros!$C$8),'Detalle pipas'!$N$5:$N$281,"NO REGISTRADA*")&gt;0,"APLICADO: registra la pipa de "&amp;TEXT(D61,"#,##0")&amp;" L","SIN PIPA: no hay pipa pendiente con esos litros (revisa litros o pon la factura)")))))</f>
        <v/>
      </c>
    </row>
    <row r="62" spans="1:7" x14ac:dyDescent="0.3">
      <c r="A62" s="36"/>
      <c r="B62" s="36"/>
      <c r="C62" s="37"/>
      <c r="D62" s="38"/>
      <c r="E62" s="39"/>
      <c r="F62" s="39"/>
      <c r="G62" s="16" t="str">
        <f>IF(AND(A62="",D62=""),"",IF(OR(A62="",B62="",C62="",D62=""),"FALTAN DATOS: Estación, Producto, Fecha y Litros son obligatorios",IF(COUNTIFS('Detalle diario'!$A$5:$A$550,A62,'Detalle diario'!$B$5:$B$550,B62,'Detalle diario'!$C$5:$C$550,C62)=0,"NO APLICA: no hay reporte de mermas de esa estación/producto en esa fecha",IF(E62&lt;&gt;"",IF(COUNTIFS('Detalle pipas'!$C$5:$C$281,E62,'Detalle pipas'!$A$5:$A$281,A62,'Detalle pipas'!$B$5:$B$281,B62,'Detalle pipas'!$N$5:$N$281,"NO REGISTRADA*")&gt;0,"APLICADO: registra la factura "&amp;E62,IF(COUNTIFS('Detalle pipas'!$C$5:$C$281,E62,'Detalle pipas'!$A$5:$A$281,A62,'Detalle pipas'!$B$5:$B$281,B62)&gt;0,"OJO: la factura "&amp;E62&amp;" ya estaba registrada; se estaría sumando doble","SIN PIPA: la factura "&amp;E62&amp;" no existe en PIPAS DEL MES para esa estación/producto")),IF(COUNTIFS('Detalle pipas'!$A$5:$A$281,A62,'Detalle pipas'!$B$5:$B$281,B62,'Detalle pipas'!$G$5:$G$281,"&gt;="&amp;(D62-Parámetros!$C$8),'Detalle pipas'!$G$5:$G$281,"&lt;="&amp;(D62+Parámetros!$C$8),'Detalle pipas'!$N$5:$N$281,"NO REGISTRADA*")&gt;0,"APLICADO: registra la pipa de "&amp;TEXT(D62,"#,##0")&amp;" L","SIN PIPA: no hay pipa pendiente con esos litros (revisa litros o pon la factura)")))))</f>
        <v/>
      </c>
    </row>
    <row r="63" spans="1:7" x14ac:dyDescent="0.3">
      <c r="A63" s="36"/>
      <c r="B63" s="36"/>
      <c r="C63" s="37"/>
      <c r="D63" s="38"/>
      <c r="E63" s="39"/>
      <c r="F63" s="39"/>
      <c r="G63" s="16" t="str">
        <f>IF(AND(A63="",D63=""),"",IF(OR(A63="",B63="",C63="",D63=""),"FALTAN DATOS: Estación, Producto, Fecha y Litros son obligatorios",IF(COUNTIFS('Detalle diario'!$A$5:$A$550,A63,'Detalle diario'!$B$5:$B$550,B63,'Detalle diario'!$C$5:$C$550,C63)=0,"NO APLICA: no hay reporte de mermas de esa estación/producto en esa fecha",IF(E63&lt;&gt;"",IF(COUNTIFS('Detalle pipas'!$C$5:$C$281,E63,'Detalle pipas'!$A$5:$A$281,A63,'Detalle pipas'!$B$5:$B$281,B63,'Detalle pipas'!$N$5:$N$281,"NO REGISTRADA*")&gt;0,"APLICADO: registra la factura "&amp;E63,IF(COUNTIFS('Detalle pipas'!$C$5:$C$281,E63,'Detalle pipas'!$A$5:$A$281,A63,'Detalle pipas'!$B$5:$B$281,B63)&gt;0,"OJO: la factura "&amp;E63&amp;" ya estaba registrada; se estaría sumando doble","SIN PIPA: la factura "&amp;E63&amp;" no existe en PIPAS DEL MES para esa estación/producto")),IF(COUNTIFS('Detalle pipas'!$A$5:$A$281,A63,'Detalle pipas'!$B$5:$B$281,B63,'Detalle pipas'!$G$5:$G$281,"&gt;="&amp;(D63-Parámetros!$C$8),'Detalle pipas'!$G$5:$G$281,"&lt;="&amp;(D63+Parámetros!$C$8),'Detalle pipas'!$N$5:$N$281,"NO REGISTRADA*")&gt;0,"APLICADO: registra la pipa de "&amp;TEXT(D63,"#,##0")&amp;" L","SIN PIPA: no hay pipa pendiente con esos litros (revisa litros o pon la factura)")))))</f>
        <v/>
      </c>
    </row>
    <row r="64" spans="1:7" x14ac:dyDescent="0.3">
      <c r="A64" s="36"/>
      <c r="B64" s="36"/>
      <c r="C64" s="37"/>
      <c r="D64" s="38"/>
      <c r="E64" s="39"/>
      <c r="F64" s="39"/>
      <c r="G64" s="16" t="str">
        <f>IF(AND(A64="",D64=""),"",IF(OR(A64="",B64="",C64="",D64=""),"FALTAN DATOS: Estación, Producto, Fecha y Litros son obligatorios",IF(COUNTIFS('Detalle diario'!$A$5:$A$550,A64,'Detalle diario'!$B$5:$B$550,B64,'Detalle diario'!$C$5:$C$550,C64)=0,"NO APLICA: no hay reporte de mermas de esa estación/producto en esa fecha",IF(E64&lt;&gt;"",IF(COUNTIFS('Detalle pipas'!$C$5:$C$281,E64,'Detalle pipas'!$A$5:$A$281,A64,'Detalle pipas'!$B$5:$B$281,B64,'Detalle pipas'!$N$5:$N$281,"NO REGISTRADA*")&gt;0,"APLICADO: registra la factura "&amp;E64,IF(COUNTIFS('Detalle pipas'!$C$5:$C$281,E64,'Detalle pipas'!$A$5:$A$281,A64,'Detalle pipas'!$B$5:$B$281,B64)&gt;0,"OJO: la factura "&amp;E64&amp;" ya estaba registrada; se estaría sumando doble","SIN PIPA: la factura "&amp;E64&amp;" no existe en PIPAS DEL MES para esa estación/producto")),IF(COUNTIFS('Detalle pipas'!$A$5:$A$281,A64,'Detalle pipas'!$B$5:$B$281,B64,'Detalle pipas'!$G$5:$G$281,"&gt;="&amp;(D64-Parámetros!$C$8),'Detalle pipas'!$G$5:$G$281,"&lt;="&amp;(D64+Parámetros!$C$8),'Detalle pipas'!$N$5:$N$281,"NO REGISTRADA*")&gt;0,"APLICADO: registra la pipa de "&amp;TEXT(D64,"#,##0")&amp;" L","SIN PIPA: no hay pipa pendiente con esos litros (revisa litros o pon la factura)")))))</f>
        <v/>
      </c>
    </row>
    <row r="65" spans="1:7" x14ac:dyDescent="0.3">
      <c r="A65" s="36"/>
      <c r="B65" s="36"/>
      <c r="C65" s="37"/>
      <c r="D65" s="38"/>
      <c r="E65" s="39"/>
      <c r="F65" s="39"/>
      <c r="G65" s="16" t="str">
        <f>IF(AND(A65="",D65=""),"",IF(OR(A65="",B65="",C65="",D65=""),"FALTAN DATOS: Estación, Producto, Fecha y Litros son obligatorios",IF(COUNTIFS('Detalle diario'!$A$5:$A$550,A65,'Detalle diario'!$B$5:$B$550,B65,'Detalle diario'!$C$5:$C$550,C65)=0,"NO APLICA: no hay reporte de mermas de esa estación/producto en esa fecha",IF(E65&lt;&gt;"",IF(COUNTIFS('Detalle pipas'!$C$5:$C$281,E65,'Detalle pipas'!$A$5:$A$281,A65,'Detalle pipas'!$B$5:$B$281,B65,'Detalle pipas'!$N$5:$N$281,"NO REGISTRADA*")&gt;0,"APLICADO: registra la factura "&amp;E65,IF(COUNTIFS('Detalle pipas'!$C$5:$C$281,E65,'Detalle pipas'!$A$5:$A$281,A65,'Detalle pipas'!$B$5:$B$281,B65)&gt;0,"OJO: la factura "&amp;E65&amp;" ya estaba registrada; se estaría sumando doble","SIN PIPA: la factura "&amp;E65&amp;" no existe en PIPAS DEL MES para esa estación/producto")),IF(COUNTIFS('Detalle pipas'!$A$5:$A$281,A65,'Detalle pipas'!$B$5:$B$281,B65,'Detalle pipas'!$G$5:$G$281,"&gt;="&amp;(D65-Parámetros!$C$8),'Detalle pipas'!$G$5:$G$281,"&lt;="&amp;(D65+Parámetros!$C$8),'Detalle pipas'!$N$5:$N$281,"NO REGISTRADA*")&gt;0,"APLICADO: registra la pipa de "&amp;TEXT(D65,"#,##0")&amp;" L","SIN PIPA: no hay pipa pendiente con esos litros (revisa litros o pon la factura)")))))</f>
        <v/>
      </c>
    </row>
    <row r="66" spans="1:7" x14ac:dyDescent="0.3">
      <c r="A66" s="36"/>
      <c r="B66" s="36"/>
      <c r="C66" s="37"/>
      <c r="D66" s="38"/>
      <c r="E66" s="39"/>
      <c r="F66" s="39"/>
      <c r="G66" s="16" t="str">
        <f>IF(AND(A66="",D66=""),"",IF(OR(A66="",B66="",C66="",D66=""),"FALTAN DATOS: Estación, Producto, Fecha y Litros son obligatorios",IF(COUNTIFS('Detalle diario'!$A$5:$A$550,A66,'Detalle diario'!$B$5:$B$550,B66,'Detalle diario'!$C$5:$C$550,C66)=0,"NO APLICA: no hay reporte de mermas de esa estación/producto en esa fecha",IF(E66&lt;&gt;"",IF(COUNTIFS('Detalle pipas'!$C$5:$C$281,E66,'Detalle pipas'!$A$5:$A$281,A66,'Detalle pipas'!$B$5:$B$281,B66,'Detalle pipas'!$N$5:$N$281,"NO REGISTRADA*")&gt;0,"APLICADO: registra la factura "&amp;E66,IF(COUNTIFS('Detalle pipas'!$C$5:$C$281,E66,'Detalle pipas'!$A$5:$A$281,A66,'Detalle pipas'!$B$5:$B$281,B66)&gt;0,"OJO: la factura "&amp;E66&amp;" ya estaba registrada; se estaría sumando doble","SIN PIPA: la factura "&amp;E66&amp;" no existe en PIPAS DEL MES para esa estación/producto")),IF(COUNTIFS('Detalle pipas'!$A$5:$A$281,A66,'Detalle pipas'!$B$5:$B$281,B66,'Detalle pipas'!$G$5:$G$281,"&gt;="&amp;(D66-Parámetros!$C$8),'Detalle pipas'!$G$5:$G$281,"&lt;="&amp;(D66+Parámetros!$C$8),'Detalle pipas'!$N$5:$N$281,"NO REGISTRADA*")&gt;0,"APLICADO: registra la pipa de "&amp;TEXT(D66,"#,##0")&amp;" L","SIN PIPA: no hay pipa pendiente con esos litros (revisa litros o pon la factura)")))))</f>
        <v/>
      </c>
    </row>
    <row r="67" spans="1:7" x14ac:dyDescent="0.3">
      <c r="A67" s="36"/>
      <c r="B67" s="36"/>
      <c r="C67" s="37"/>
      <c r="D67" s="38"/>
      <c r="E67" s="39"/>
      <c r="F67" s="39"/>
      <c r="G67" s="16" t="str">
        <f>IF(AND(A67="",D67=""),"",IF(OR(A67="",B67="",C67="",D67=""),"FALTAN DATOS: Estación, Producto, Fecha y Litros son obligatorios",IF(COUNTIFS('Detalle diario'!$A$5:$A$550,A67,'Detalle diario'!$B$5:$B$550,B67,'Detalle diario'!$C$5:$C$550,C67)=0,"NO APLICA: no hay reporte de mermas de esa estación/producto en esa fecha",IF(E67&lt;&gt;"",IF(COUNTIFS('Detalle pipas'!$C$5:$C$281,E67,'Detalle pipas'!$A$5:$A$281,A67,'Detalle pipas'!$B$5:$B$281,B67,'Detalle pipas'!$N$5:$N$281,"NO REGISTRADA*")&gt;0,"APLICADO: registra la factura "&amp;E67,IF(COUNTIFS('Detalle pipas'!$C$5:$C$281,E67,'Detalle pipas'!$A$5:$A$281,A67,'Detalle pipas'!$B$5:$B$281,B67)&gt;0,"OJO: la factura "&amp;E67&amp;" ya estaba registrada; se estaría sumando doble","SIN PIPA: la factura "&amp;E67&amp;" no existe en PIPAS DEL MES para esa estación/producto")),IF(COUNTIFS('Detalle pipas'!$A$5:$A$281,A67,'Detalle pipas'!$B$5:$B$281,B67,'Detalle pipas'!$G$5:$G$281,"&gt;="&amp;(D67-Parámetros!$C$8),'Detalle pipas'!$G$5:$G$281,"&lt;="&amp;(D67+Parámetros!$C$8),'Detalle pipas'!$N$5:$N$281,"NO REGISTRADA*")&gt;0,"APLICADO: registra la pipa de "&amp;TEXT(D67,"#,##0")&amp;" L","SIN PIPA: no hay pipa pendiente con esos litros (revisa litros o pon la factura)")))))</f>
        <v/>
      </c>
    </row>
    <row r="68" spans="1:7" x14ac:dyDescent="0.3">
      <c r="A68" s="36"/>
      <c r="B68" s="36"/>
      <c r="C68" s="37"/>
      <c r="D68" s="38"/>
      <c r="E68" s="39"/>
      <c r="F68" s="39"/>
      <c r="G68" s="16" t="str">
        <f>IF(AND(A68="",D68=""),"",IF(OR(A68="",B68="",C68="",D68=""),"FALTAN DATOS: Estación, Producto, Fecha y Litros son obligatorios",IF(COUNTIFS('Detalle diario'!$A$5:$A$550,A68,'Detalle diario'!$B$5:$B$550,B68,'Detalle diario'!$C$5:$C$550,C68)=0,"NO APLICA: no hay reporte de mermas de esa estación/producto en esa fecha",IF(E68&lt;&gt;"",IF(COUNTIFS('Detalle pipas'!$C$5:$C$281,E68,'Detalle pipas'!$A$5:$A$281,A68,'Detalle pipas'!$B$5:$B$281,B68,'Detalle pipas'!$N$5:$N$281,"NO REGISTRADA*")&gt;0,"APLICADO: registra la factura "&amp;E68,IF(COUNTIFS('Detalle pipas'!$C$5:$C$281,E68,'Detalle pipas'!$A$5:$A$281,A68,'Detalle pipas'!$B$5:$B$281,B68)&gt;0,"OJO: la factura "&amp;E68&amp;" ya estaba registrada; se estaría sumando doble","SIN PIPA: la factura "&amp;E68&amp;" no existe en PIPAS DEL MES para esa estación/producto")),IF(COUNTIFS('Detalle pipas'!$A$5:$A$281,A68,'Detalle pipas'!$B$5:$B$281,B68,'Detalle pipas'!$G$5:$G$281,"&gt;="&amp;(D68-Parámetros!$C$8),'Detalle pipas'!$G$5:$G$281,"&lt;="&amp;(D68+Parámetros!$C$8),'Detalle pipas'!$N$5:$N$281,"NO REGISTRADA*")&gt;0,"APLICADO: registra la pipa de "&amp;TEXT(D68,"#,##0")&amp;" L","SIN PIPA: no hay pipa pendiente con esos litros (revisa litros o pon la factura)")))))</f>
        <v/>
      </c>
    </row>
    <row r="69" spans="1:7" x14ac:dyDescent="0.3">
      <c r="A69" s="36"/>
      <c r="B69" s="36"/>
      <c r="C69" s="37"/>
      <c r="D69" s="38"/>
      <c r="E69" s="39"/>
      <c r="F69" s="39"/>
      <c r="G69" s="16" t="str">
        <f>IF(AND(A69="",D69=""),"",IF(OR(A69="",B69="",C69="",D69=""),"FALTAN DATOS: Estación, Producto, Fecha y Litros son obligatorios",IF(COUNTIFS('Detalle diario'!$A$5:$A$550,A69,'Detalle diario'!$B$5:$B$550,B69,'Detalle diario'!$C$5:$C$550,C69)=0,"NO APLICA: no hay reporte de mermas de esa estación/producto en esa fecha",IF(E69&lt;&gt;"",IF(COUNTIFS('Detalle pipas'!$C$5:$C$281,E69,'Detalle pipas'!$A$5:$A$281,A69,'Detalle pipas'!$B$5:$B$281,B69,'Detalle pipas'!$N$5:$N$281,"NO REGISTRADA*")&gt;0,"APLICADO: registra la factura "&amp;E69,IF(COUNTIFS('Detalle pipas'!$C$5:$C$281,E69,'Detalle pipas'!$A$5:$A$281,A69,'Detalle pipas'!$B$5:$B$281,B69)&gt;0,"OJO: la factura "&amp;E69&amp;" ya estaba registrada; se estaría sumando doble","SIN PIPA: la factura "&amp;E69&amp;" no existe en PIPAS DEL MES para esa estación/producto")),IF(COUNTIFS('Detalle pipas'!$A$5:$A$281,A69,'Detalle pipas'!$B$5:$B$281,B69,'Detalle pipas'!$G$5:$G$281,"&gt;="&amp;(D69-Parámetros!$C$8),'Detalle pipas'!$G$5:$G$281,"&lt;="&amp;(D69+Parámetros!$C$8),'Detalle pipas'!$N$5:$N$281,"NO REGISTRADA*")&gt;0,"APLICADO: registra la pipa de "&amp;TEXT(D69,"#,##0")&amp;" L","SIN PIPA: no hay pipa pendiente con esos litros (revisa litros o pon la factura)")))))</f>
        <v/>
      </c>
    </row>
    <row r="70" spans="1:7" x14ac:dyDescent="0.3">
      <c r="A70" s="36"/>
      <c r="B70" s="36"/>
      <c r="C70" s="37"/>
      <c r="D70" s="38"/>
      <c r="E70" s="39"/>
      <c r="F70" s="39"/>
      <c r="G70" s="16" t="str">
        <f>IF(AND(A70="",D70=""),"",IF(OR(A70="",B70="",C70="",D70=""),"FALTAN DATOS: Estación, Producto, Fecha y Litros son obligatorios",IF(COUNTIFS('Detalle diario'!$A$5:$A$550,A70,'Detalle diario'!$B$5:$B$550,B70,'Detalle diario'!$C$5:$C$550,C70)=0,"NO APLICA: no hay reporte de mermas de esa estación/producto en esa fecha",IF(E70&lt;&gt;"",IF(COUNTIFS('Detalle pipas'!$C$5:$C$281,E70,'Detalle pipas'!$A$5:$A$281,A70,'Detalle pipas'!$B$5:$B$281,B70,'Detalle pipas'!$N$5:$N$281,"NO REGISTRADA*")&gt;0,"APLICADO: registra la factura "&amp;E70,IF(COUNTIFS('Detalle pipas'!$C$5:$C$281,E70,'Detalle pipas'!$A$5:$A$281,A70,'Detalle pipas'!$B$5:$B$281,B70)&gt;0,"OJO: la factura "&amp;E70&amp;" ya estaba registrada; se estaría sumando doble","SIN PIPA: la factura "&amp;E70&amp;" no existe en PIPAS DEL MES para esa estación/producto")),IF(COUNTIFS('Detalle pipas'!$A$5:$A$281,A70,'Detalle pipas'!$B$5:$B$281,B70,'Detalle pipas'!$G$5:$G$281,"&gt;="&amp;(D70-Parámetros!$C$8),'Detalle pipas'!$G$5:$G$281,"&lt;="&amp;(D70+Parámetros!$C$8),'Detalle pipas'!$N$5:$N$281,"NO REGISTRADA*")&gt;0,"APLICADO: registra la pipa de "&amp;TEXT(D70,"#,##0")&amp;" L","SIN PIPA: no hay pipa pendiente con esos litros (revisa litros o pon la factura)")))))</f>
        <v/>
      </c>
    </row>
    <row r="71" spans="1:7" x14ac:dyDescent="0.3">
      <c r="A71" s="36"/>
      <c r="B71" s="36"/>
      <c r="C71" s="37"/>
      <c r="D71" s="38"/>
      <c r="E71" s="39"/>
      <c r="F71" s="39"/>
      <c r="G71" s="16" t="str">
        <f>IF(AND(A71="",D71=""),"",IF(OR(A71="",B71="",C71="",D71=""),"FALTAN DATOS: Estación, Producto, Fecha y Litros son obligatorios",IF(COUNTIFS('Detalle diario'!$A$5:$A$550,A71,'Detalle diario'!$B$5:$B$550,B71,'Detalle diario'!$C$5:$C$550,C71)=0,"NO APLICA: no hay reporte de mermas de esa estación/producto en esa fecha",IF(E71&lt;&gt;"",IF(COUNTIFS('Detalle pipas'!$C$5:$C$281,E71,'Detalle pipas'!$A$5:$A$281,A71,'Detalle pipas'!$B$5:$B$281,B71,'Detalle pipas'!$N$5:$N$281,"NO REGISTRADA*")&gt;0,"APLICADO: registra la factura "&amp;E71,IF(COUNTIFS('Detalle pipas'!$C$5:$C$281,E71,'Detalle pipas'!$A$5:$A$281,A71,'Detalle pipas'!$B$5:$B$281,B71)&gt;0,"OJO: la factura "&amp;E71&amp;" ya estaba registrada; se estaría sumando doble","SIN PIPA: la factura "&amp;E71&amp;" no existe en PIPAS DEL MES para esa estación/producto")),IF(COUNTIFS('Detalle pipas'!$A$5:$A$281,A71,'Detalle pipas'!$B$5:$B$281,B71,'Detalle pipas'!$G$5:$G$281,"&gt;="&amp;(D71-Parámetros!$C$8),'Detalle pipas'!$G$5:$G$281,"&lt;="&amp;(D71+Parámetros!$C$8),'Detalle pipas'!$N$5:$N$281,"NO REGISTRADA*")&gt;0,"APLICADO: registra la pipa de "&amp;TEXT(D71,"#,##0")&amp;" L","SIN PIPA: no hay pipa pendiente con esos litros (revisa litros o pon la factura)")))))</f>
        <v/>
      </c>
    </row>
    <row r="72" spans="1:7" x14ac:dyDescent="0.3">
      <c r="A72" s="36"/>
      <c r="B72" s="36"/>
      <c r="C72" s="37"/>
      <c r="D72" s="38"/>
      <c r="E72" s="39"/>
      <c r="F72" s="39"/>
      <c r="G72" s="16" t="str">
        <f>IF(AND(A72="",D72=""),"",IF(OR(A72="",B72="",C72="",D72=""),"FALTAN DATOS: Estación, Producto, Fecha y Litros son obligatorios",IF(COUNTIFS('Detalle diario'!$A$5:$A$550,A72,'Detalle diario'!$B$5:$B$550,B72,'Detalle diario'!$C$5:$C$550,C72)=0,"NO APLICA: no hay reporte de mermas de esa estación/producto en esa fecha",IF(E72&lt;&gt;"",IF(COUNTIFS('Detalle pipas'!$C$5:$C$281,E72,'Detalle pipas'!$A$5:$A$281,A72,'Detalle pipas'!$B$5:$B$281,B72,'Detalle pipas'!$N$5:$N$281,"NO REGISTRADA*")&gt;0,"APLICADO: registra la factura "&amp;E72,IF(COUNTIFS('Detalle pipas'!$C$5:$C$281,E72,'Detalle pipas'!$A$5:$A$281,A72,'Detalle pipas'!$B$5:$B$281,B72)&gt;0,"OJO: la factura "&amp;E72&amp;" ya estaba registrada; se estaría sumando doble","SIN PIPA: la factura "&amp;E72&amp;" no existe en PIPAS DEL MES para esa estación/producto")),IF(COUNTIFS('Detalle pipas'!$A$5:$A$281,A72,'Detalle pipas'!$B$5:$B$281,B72,'Detalle pipas'!$G$5:$G$281,"&gt;="&amp;(D72-Parámetros!$C$8),'Detalle pipas'!$G$5:$G$281,"&lt;="&amp;(D72+Parámetros!$C$8),'Detalle pipas'!$N$5:$N$281,"NO REGISTRADA*")&gt;0,"APLICADO: registra la pipa de "&amp;TEXT(D72,"#,##0")&amp;" L","SIN PIPA: no hay pipa pendiente con esos litros (revisa litros o pon la factura)")))))</f>
        <v/>
      </c>
    </row>
    <row r="73" spans="1:7" x14ac:dyDescent="0.3">
      <c r="A73" s="36"/>
      <c r="B73" s="36"/>
      <c r="C73" s="37"/>
      <c r="D73" s="38"/>
      <c r="E73" s="39"/>
      <c r="F73" s="39"/>
      <c r="G73" s="16" t="str">
        <f>IF(AND(A73="",D73=""),"",IF(OR(A73="",B73="",C73="",D73=""),"FALTAN DATOS: Estación, Producto, Fecha y Litros son obligatorios",IF(COUNTIFS('Detalle diario'!$A$5:$A$550,A73,'Detalle diario'!$B$5:$B$550,B73,'Detalle diario'!$C$5:$C$550,C73)=0,"NO APLICA: no hay reporte de mermas de esa estación/producto en esa fecha",IF(E73&lt;&gt;"",IF(COUNTIFS('Detalle pipas'!$C$5:$C$281,E73,'Detalle pipas'!$A$5:$A$281,A73,'Detalle pipas'!$B$5:$B$281,B73,'Detalle pipas'!$N$5:$N$281,"NO REGISTRADA*")&gt;0,"APLICADO: registra la factura "&amp;E73,IF(COUNTIFS('Detalle pipas'!$C$5:$C$281,E73,'Detalle pipas'!$A$5:$A$281,A73,'Detalle pipas'!$B$5:$B$281,B73)&gt;0,"OJO: la factura "&amp;E73&amp;" ya estaba registrada; se estaría sumando doble","SIN PIPA: la factura "&amp;E73&amp;" no existe en PIPAS DEL MES para esa estación/producto")),IF(COUNTIFS('Detalle pipas'!$A$5:$A$281,A73,'Detalle pipas'!$B$5:$B$281,B73,'Detalle pipas'!$G$5:$G$281,"&gt;="&amp;(D73-Parámetros!$C$8),'Detalle pipas'!$G$5:$G$281,"&lt;="&amp;(D73+Parámetros!$C$8),'Detalle pipas'!$N$5:$N$281,"NO REGISTRADA*")&gt;0,"APLICADO: registra la pipa de "&amp;TEXT(D73,"#,##0")&amp;" L","SIN PIPA: no hay pipa pendiente con esos litros (revisa litros o pon la factura)")))))</f>
        <v/>
      </c>
    </row>
    <row r="74" spans="1:7" x14ac:dyDescent="0.3">
      <c r="A74" s="36"/>
      <c r="B74" s="36"/>
      <c r="C74" s="37"/>
      <c r="D74" s="38"/>
      <c r="E74" s="39"/>
      <c r="F74" s="39"/>
      <c r="G74" s="16" t="str">
        <f>IF(AND(A74="",D74=""),"",IF(OR(A74="",B74="",C74="",D74=""),"FALTAN DATOS: Estación, Producto, Fecha y Litros son obligatorios",IF(COUNTIFS('Detalle diario'!$A$5:$A$550,A74,'Detalle diario'!$B$5:$B$550,B74,'Detalle diario'!$C$5:$C$550,C74)=0,"NO APLICA: no hay reporte de mermas de esa estación/producto en esa fecha",IF(E74&lt;&gt;"",IF(COUNTIFS('Detalle pipas'!$C$5:$C$281,E74,'Detalle pipas'!$A$5:$A$281,A74,'Detalle pipas'!$B$5:$B$281,B74,'Detalle pipas'!$N$5:$N$281,"NO REGISTRADA*")&gt;0,"APLICADO: registra la factura "&amp;E74,IF(COUNTIFS('Detalle pipas'!$C$5:$C$281,E74,'Detalle pipas'!$A$5:$A$281,A74,'Detalle pipas'!$B$5:$B$281,B74)&gt;0,"OJO: la factura "&amp;E74&amp;" ya estaba registrada; se estaría sumando doble","SIN PIPA: la factura "&amp;E74&amp;" no existe en PIPAS DEL MES para esa estación/producto")),IF(COUNTIFS('Detalle pipas'!$A$5:$A$281,A74,'Detalle pipas'!$B$5:$B$281,B74,'Detalle pipas'!$G$5:$G$281,"&gt;="&amp;(D74-Parámetros!$C$8),'Detalle pipas'!$G$5:$G$281,"&lt;="&amp;(D74+Parámetros!$C$8),'Detalle pipas'!$N$5:$N$281,"NO REGISTRADA*")&gt;0,"APLICADO: registra la pipa de "&amp;TEXT(D74,"#,##0")&amp;" L","SIN PIPA: no hay pipa pendiente con esos litros (revisa litros o pon la factura)")))))</f>
        <v/>
      </c>
    </row>
    <row r="75" spans="1:7" x14ac:dyDescent="0.3">
      <c r="A75" s="36"/>
      <c r="B75" s="36"/>
      <c r="C75" s="37"/>
      <c r="D75" s="38"/>
      <c r="E75" s="39"/>
      <c r="F75" s="39"/>
      <c r="G75" s="16" t="str">
        <f>IF(AND(A75="",D75=""),"",IF(OR(A75="",B75="",C75="",D75=""),"FALTAN DATOS: Estación, Producto, Fecha y Litros son obligatorios",IF(COUNTIFS('Detalle diario'!$A$5:$A$550,A75,'Detalle diario'!$B$5:$B$550,B75,'Detalle diario'!$C$5:$C$550,C75)=0,"NO APLICA: no hay reporte de mermas de esa estación/producto en esa fecha",IF(E75&lt;&gt;"",IF(COUNTIFS('Detalle pipas'!$C$5:$C$281,E75,'Detalle pipas'!$A$5:$A$281,A75,'Detalle pipas'!$B$5:$B$281,B75,'Detalle pipas'!$N$5:$N$281,"NO REGISTRADA*")&gt;0,"APLICADO: registra la factura "&amp;E75,IF(COUNTIFS('Detalle pipas'!$C$5:$C$281,E75,'Detalle pipas'!$A$5:$A$281,A75,'Detalle pipas'!$B$5:$B$281,B75)&gt;0,"OJO: la factura "&amp;E75&amp;" ya estaba registrada; se estaría sumando doble","SIN PIPA: la factura "&amp;E75&amp;" no existe en PIPAS DEL MES para esa estación/producto")),IF(COUNTIFS('Detalle pipas'!$A$5:$A$281,A75,'Detalle pipas'!$B$5:$B$281,B75,'Detalle pipas'!$G$5:$G$281,"&gt;="&amp;(D75-Parámetros!$C$8),'Detalle pipas'!$G$5:$G$281,"&lt;="&amp;(D75+Parámetros!$C$8),'Detalle pipas'!$N$5:$N$281,"NO REGISTRADA*")&gt;0,"APLICADO: registra la pipa de "&amp;TEXT(D75,"#,##0")&amp;" L","SIN PIPA: no hay pipa pendiente con esos litros (revisa litros o pon la factura)")))))</f>
        <v/>
      </c>
    </row>
    <row r="76" spans="1:7" x14ac:dyDescent="0.3">
      <c r="A76" s="36"/>
      <c r="B76" s="36"/>
      <c r="C76" s="37"/>
      <c r="D76" s="38"/>
      <c r="E76" s="39"/>
      <c r="F76" s="39"/>
      <c r="G76" s="16" t="str">
        <f>IF(AND(A76="",D76=""),"",IF(OR(A76="",B76="",C76="",D76=""),"FALTAN DATOS: Estación, Producto, Fecha y Litros son obligatorios",IF(COUNTIFS('Detalle diario'!$A$5:$A$550,A76,'Detalle diario'!$B$5:$B$550,B76,'Detalle diario'!$C$5:$C$550,C76)=0,"NO APLICA: no hay reporte de mermas de esa estación/producto en esa fecha",IF(E76&lt;&gt;"",IF(COUNTIFS('Detalle pipas'!$C$5:$C$281,E76,'Detalle pipas'!$A$5:$A$281,A76,'Detalle pipas'!$B$5:$B$281,B76,'Detalle pipas'!$N$5:$N$281,"NO REGISTRADA*")&gt;0,"APLICADO: registra la factura "&amp;E76,IF(COUNTIFS('Detalle pipas'!$C$5:$C$281,E76,'Detalle pipas'!$A$5:$A$281,A76,'Detalle pipas'!$B$5:$B$281,B76)&gt;0,"OJO: la factura "&amp;E76&amp;" ya estaba registrada; se estaría sumando doble","SIN PIPA: la factura "&amp;E76&amp;" no existe en PIPAS DEL MES para esa estación/producto")),IF(COUNTIFS('Detalle pipas'!$A$5:$A$281,A76,'Detalle pipas'!$B$5:$B$281,B76,'Detalle pipas'!$G$5:$G$281,"&gt;="&amp;(D76-Parámetros!$C$8),'Detalle pipas'!$G$5:$G$281,"&lt;="&amp;(D76+Parámetros!$C$8),'Detalle pipas'!$N$5:$N$281,"NO REGISTRADA*")&gt;0,"APLICADO: registra la pipa de "&amp;TEXT(D76,"#,##0")&amp;" L","SIN PIPA: no hay pipa pendiente con esos litros (revisa litros o pon la factura)")))))</f>
        <v/>
      </c>
    </row>
    <row r="77" spans="1:7" x14ac:dyDescent="0.3">
      <c r="A77" s="36"/>
      <c r="B77" s="36"/>
      <c r="C77" s="37"/>
      <c r="D77" s="38"/>
      <c r="E77" s="39"/>
      <c r="F77" s="39"/>
      <c r="G77" s="16" t="str">
        <f>IF(AND(A77="",D77=""),"",IF(OR(A77="",B77="",C77="",D77=""),"FALTAN DATOS: Estación, Producto, Fecha y Litros son obligatorios",IF(COUNTIFS('Detalle diario'!$A$5:$A$550,A77,'Detalle diario'!$B$5:$B$550,B77,'Detalle diario'!$C$5:$C$550,C77)=0,"NO APLICA: no hay reporte de mermas de esa estación/producto en esa fecha",IF(E77&lt;&gt;"",IF(COUNTIFS('Detalle pipas'!$C$5:$C$281,E77,'Detalle pipas'!$A$5:$A$281,A77,'Detalle pipas'!$B$5:$B$281,B77,'Detalle pipas'!$N$5:$N$281,"NO REGISTRADA*")&gt;0,"APLICADO: registra la factura "&amp;E77,IF(COUNTIFS('Detalle pipas'!$C$5:$C$281,E77,'Detalle pipas'!$A$5:$A$281,A77,'Detalle pipas'!$B$5:$B$281,B77)&gt;0,"OJO: la factura "&amp;E77&amp;" ya estaba registrada; se estaría sumando doble","SIN PIPA: la factura "&amp;E77&amp;" no existe en PIPAS DEL MES para esa estación/producto")),IF(COUNTIFS('Detalle pipas'!$A$5:$A$281,A77,'Detalle pipas'!$B$5:$B$281,B77,'Detalle pipas'!$G$5:$G$281,"&gt;="&amp;(D77-Parámetros!$C$8),'Detalle pipas'!$G$5:$G$281,"&lt;="&amp;(D77+Parámetros!$C$8),'Detalle pipas'!$N$5:$N$281,"NO REGISTRADA*")&gt;0,"APLICADO: registra la pipa de "&amp;TEXT(D77,"#,##0")&amp;" L","SIN PIPA: no hay pipa pendiente con esos litros (revisa litros o pon la factura)")))))</f>
        <v/>
      </c>
    </row>
    <row r="78" spans="1:7" x14ac:dyDescent="0.3">
      <c r="A78" s="36"/>
      <c r="B78" s="36"/>
      <c r="C78" s="37"/>
      <c r="D78" s="38"/>
      <c r="E78" s="39"/>
      <c r="F78" s="39"/>
      <c r="G78" s="16" t="str">
        <f>IF(AND(A78="",D78=""),"",IF(OR(A78="",B78="",C78="",D78=""),"FALTAN DATOS: Estación, Producto, Fecha y Litros son obligatorios",IF(COUNTIFS('Detalle diario'!$A$5:$A$550,A78,'Detalle diario'!$B$5:$B$550,B78,'Detalle diario'!$C$5:$C$550,C78)=0,"NO APLICA: no hay reporte de mermas de esa estación/producto en esa fecha",IF(E78&lt;&gt;"",IF(COUNTIFS('Detalle pipas'!$C$5:$C$281,E78,'Detalle pipas'!$A$5:$A$281,A78,'Detalle pipas'!$B$5:$B$281,B78,'Detalle pipas'!$N$5:$N$281,"NO REGISTRADA*")&gt;0,"APLICADO: registra la factura "&amp;E78,IF(COUNTIFS('Detalle pipas'!$C$5:$C$281,E78,'Detalle pipas'!$A$5:$A$281,A78,'Detalle pipas'!$B$5:$B$281,B78)&gt;0,"OJO: la factura "&amp;E78&amp;" ya estaba registrada; se estaría sumando doble","SIN PIPA: la factura "&amp;E78&amp;" no existe en PIPAS DEL MES para esa estación/producto")),IF(COUNTIFS('Detalle pipas'!$A$5:$A$281,A78,'Detalle pipas'!$B$5:$B$281,B78,'Detalle pipas'!$G$5:$G$281,"&gt;="&amp;(D78-Parámetros!$C$8),'Detalle pipas'!$G$5:$G$281,"&lt;="&amp;(D78+Parámetros!$C$8),'Detalle pipas'!$N$5:$N$281,"NO REGISTRADA*")&gt;0,"APLICADO: registra la pipa de "&amp;TEXT(D78,"#,##0")&amp;" L","SIN PIPA: no hay pipa pendiente con esos litros (revisa litros o pon la factura)")))))</f>
        <v/>
      </c>
    </row>
    <row r="79" spans="1:7" x14ac:dyDescent="0.3">
      <c r="A79" s="36"/>
      <c r="B79" s="36"/>
      <c r="C79" s="37"/>
      <c r="D79" s="38"/>
      <c r="E79" s="39"/>
      <c r="F79" s="39"/>
      <c r="G79" s="16" t="str">
        <f>IF(AND(A79="",D79=""),"",IF(OR(A79="",B79="",C79="",D79=""),"FALTAN DATOS: Estación, Producto, Fecha y Litros son obligatorios",IF(COUNTIFS('Detalle diario'!$A$5:$A$550,A79,'Detalle diario'!$B$5:$B$550,B79,'Detalle diario'!$C$5:$C$550,C79)=0,"NO APLICA: no hay reporte de mermas de esa estación/producto en esa fecha",IF(E79&lt;&gt;"",IF(COUNTIFS('Detalle pipas'!$C$5:$C$281,E79,'Detalle pipas'!$A$5:$A$281,A79,'Detalle pipas'!$B$5:$B$281,B79,'Detalle pipas'!$N$5:$N$281,"NO REGISTRADA*")&gt;0,"APLICADO: registra la factura "&amp;E79,IF(COUNTIFS('Detalle pipas'!$C$5:$C$281,E79,'Detalle pipas'!$A$5:$A$281,A79,'Detalle pipas'!$B$5:$B$281,B79)&gt;0,"OJO: la factura "&amp;E79&amp;" ya estaba registrada; se estaría sumando doble","SIN PIPA: la factura "&amp;E79&amp;" no existe en PIPAS DEL MES para esa estación/producto")),IF(COUNTIFS('Detalle pipas'!$A$5:$A$281,A79,'Detalle pipas'!$B$5:$B$281,B79,'Detalle pipas'!$G$5:$G$281,"&gt;="&amp;(D79-Parámetros!$C$8),'Detalle pipas'!$G$5:$G$281,"&lt;="&amp;(D79+Parámetros!$C$8),'Detalle pipas'!$N$5:$N$281,"NO REGISTRADA*")&gt;0,"APLICADO: registra la pipa de "&amp;TEXT(D79,"#,##0")&amp;" L","SIN PIPA: no hay pipa pendiente con esos litros (revisa litros o pon la factura)")))))</f>
        <v/>
      </c>
    </row>
    <row r="80" spans="1:7" x14ac:dyDescent="0.3">
      <c r="A80" s="36"/>
      <c r="B80" s="36"/>
      <c r="C80" s="37"/>
      <c r="D80" s="38"/>
      <c r="E80" s="39"/>
      <c r="F80" s="39"/>
      <c r="G80" s="16" t="str">
        <f>IF(AND(A80="",D80=""),"",IF(OR(A80="",B80="",C80="",D80=""),"FALTAN DATOS: Estación, Producto, Fecha y Litros son obligatorios",IF(COUNTIFS('Detalle diario'!$A$5:$A$550,A80,'Detalle diario'!$B$5:$B$550,B80,'Detalle diario'!$C$5:$C$550,C80)=0,"NO APLICA: no hay reporte de mermas de esa estación/producto en esa fecha",IF(E80&lt;&gt;"",IF(COUNTIFS('Detalle pipas'!$C$5:$C$281,E80,'Detalle pipas'!$A$5:$A$281,A80,'Detalle pipas'!$B$5:$B$281,B80,'Detalle pipas'!$N$5:$N$281,"NO REGISTRADA*")&gt;0,"APLICADO: registra la factura "&amp;E80,IF(COUNTIFS('Detalle pipas'!$C$5:$C$281,E80,'Detalle pipas'!$A$5:$A$281,A80,'Detalle pipas'!$B$5:$B$281,B80)&gt;0,"OJO: la factura "&amp;E80&amp;" ya estaba registrada; se estaría sumando doble","SIN PIPA: la factura "&amp;E80&amp;" no existe en PIPAS DEL MES para esa estación/producto")),IF(COUNTIFS('Detalle pipas'!$A$5:$A$281,A80,'Detalle pipas'!$B$5:$B$281,B80,'Detalle pipas'!$G$5:$G$281,"&gt;="&amp;(D80-Parámetros!$C$8),'Detalle pipas'!$G$5:$G$281,"&lt;="&amp;(D80+Parámetros!$C$8),'Detalle pipas'!$N$5:$N$281,"NO REGISTRADA*")&gt;0,"APLICADO: registra la pipa de "&amp;TEXT(D80,"#,##0")&amp;" L","SIN PIPA: no hay pipa pendiente con esos litros (revisa litros o pon la factura)")))))</f>
        <v/>
      </c>
    </row>
    <row r="81" spans="1:7" x14ac:dyDescent="0.3">
      <c r="A81" s="36"/>
      <c r="B81" s="36"/>
      <c r="C81" s="37"/>
      <c r="D81" s="38"/>
      <c r="E81" s="39"/>
      <c r="F81" s="39"/>
      <c r="G81" s="16" t="str">
        <f>IF(AND(A81="",D81=""),"",IF(OR(A81="",B81="",C81="",D81=""),"FALTAN DATOS: Estación, Producto, Fecha y Litros son obligatorios",IF(COUNTIFS('Detalle diario'!$A$5:$A$550,A81,'Detalle diario'!$B$5:$B$550,B81,'Detalle diario'!$C$5:$C$550,C81)=0,"NO APLICA: no hay reporte de mermas de esa estación/producto en esa fecha",IF(E81&lt;&gt;"",IF(COUNTIFS('Detalle pipas'!$C$5:$C$281,E81,'Detalle pipas'!$A$5:$A$281,A81,'Detalle pipas'!$B$5:$B$281,B81,'Detalle pipas'!$N$5:$N$281,"NO REGISTRADA*")&gt;0,"APLICADO: registra la factura "&amp;E81,IF(COUNTIFS('Detalle pipas'!$C$5:$C$281,E81,'Detalle pipas'!$A$5:$A$281,A81,'Detalle pipas'!$B$5:$B$281,B81)&gt;0,"OJO: la factura "&amp;E81&amp;" ya estaba registrada; se estaría sumando doble","SIN PIPA: la factura "&amp;E81&amp;" no existe en PIPAS DEL MES para esa estación/producto")),IF(COUNTIFS('Detalle pipas'!$A$5:$A$281,A81,'Detalle pipas'!$B$5:$B$281,B81,'Detalle pipas'!$G$5:$G$281,"&gt;="&amp;(D81-Parámetros!$C$8),'Detalle pipas'!$G$5:$G$281,"&lt;="&amp;(D81+Parámetros!$C$8),'Detalle pipas'!$N$5:$N$281,"NO REGISTRADA*")&gt;0,"APLICADO: registra la pipa de "&amp;TEXT(D81,"#,##0")&amp;" L","SIN PIPA: no hay pipa pendiente con esos litros (revisa litros o pon la factura)")))))</f>
        <v/>
      </c>
    </row>
    <row r="82" spans="1:7" x14ac:dyDescent="0.3">
      <c r="A82" s="36"/>
      <c r="B82" s="36"/>
      <c r="C82" s="37"/>
      <c r="D82" s="38"/>
      <c r="E82" s="39"/>
      <c r="F82" s="39"/>
      <c r="G82" s="16" t="str">
        <f>IF(AND(A82="",D82=""),"",IF(OR(A82="",B82="",C82="",D82=""),"FALTAN DATOS: Estación, Producto, Fecha y Litros son obligatorios",IF(COUNTIFS('Detalle diario'!$A$5:$A$550,A82,'Detalle diario'!$B$5:$B$550,B82,'Detalle diario'!$C$5:$C$550,C82)=0,"NO APLICA: no hay reporte de mermas de esa estación/producto en esa fecha",IF(E82&lt;&gt;"",IF(COUNTIFS('Detalle pipas'!$C$5:$C$281,E82,'Detalle pipas'!$A$5:$A$281,A82,'Detalle pipas'!$B$5:$B$281,B82,'Detalle pipas'!$N$5:$N$281,"NO REGISTRADA*")&gt;0,"APLICADO: registra la factura "&amp;E82,IF(COUNTIFS('Detalle pipas'!$C$5:$C$281,E82,'Detalle pipas'!$A$5:$A$281,A82,'Detalle pipas'!$B$5:$B$281,B82)&gt;0,"OJO: la factura "&amp;E82&amp;" ya estaba registrada; se estaría sumando doble","SIN PIPA: la factura "&amp;E82&amp;" no existe en PIPAS DEL MES para esa estación/producto")),IF(COUNTIFS('Detalle pipas'!$A$5:$A$281,A82,'Detalle pipas'!$B$5:$B$281,B82,'Detalle pipas'!$G$5:$G$281,"&gt;="&amp;(D82-Parámetros!$C$8),'Detalle pipas'!$G$5:$G$281,"&lt;="&amp;(D82+Parámetros!$C$8),'Detalle pipas'!$N$5:$N$281,"NO REGISTRADA*")&gt;0,"APLICADO: registra la pipa de "&amp;TEXT(D82,"#,##0")&amp;" L","SIN PIPA: no hay pipa pendiente con esos litros (revisa litros o pon la factura)")))))</f>
        <v/>
      </c>
    </row>
    <row r="83" spans="1:7" x14ac:dyDescent="0.3">
      <c r="A83" s="36"/>
      <c r="B83" s="36"/>
      <c r="C83" s="37"/>
      <c r="D83" s="38"/>
      <c r="E83" s="39"/>
      <c r="F83" s="39"/>
      <c r="G83" s="16" t="str">
        <f>IF(AND(A83="",D83=""),"",IF(OR(A83="",B83="",C83="",D83=""),"FALTAN DATOS: Estación, Producto, Fecha y Litros son obligatorios",IF(COUNTIFS('Detalle diario'!$A$5:$A$550,A83,'Detalle diario'!$B$5:$B$550,B83,'Detalle diario'!$C$5:$C$550,C83)=0,"NO APLICA: no hay reporte de mermas de esa estación/producto en esa fecha",IF(E83&lt;&gt;"",IF(COUNTIFS('Detalle pipas'!$C$5:$C$281,E83,'Detalle pipas'!$A$5:$A$281,A83,'Detalle pipas'!$B$5:$B$281,B83,'Detalle pipas'!$N$5:$N$281,"NO REGISTRADA*")&gt;0,"APLICADO: registra la factura "&amp;E83,IF(COUNTIFS('Detalle pipas'!$C$5:$C$281,E83,'Detalle pipas'!$A$5:$A$281,A83,'Detalle pipas'!$B$5:$B$281,B83)&gt;0,"OJO: la factura "&amp;E83&amp;" ya estaba registrada; se estaría sumando doble","SIN PIPA: la factura "&amp;E83&amp;" no existe en PIPAS DEL MES para esa estación/producto")),IF(COUNTIFS('Detalle pipas'!$A$5:$A$281,A83,'Detalle pipas'!$B$5:$B$281,B83,'Detalle pipas'!$G$5:$G$281,"&gt;="&amp;(D83-Parámetros!$C$8),'Detalle pipas'!$G$5:$G$281,"&lt;="&amp;(D83+Parámetros!$C$8),'Detalle pipas'!$N$5:$N$281,"NO REGISTRADA*")&gt;0,"APLICADO: registra la pipa de "&amp;TEXT(D83,"#,##0")&amp;" L","SIN PIPA: no hay pipa pendiente con esos litros (revisa litros o pon la factura)")))))</f>
        <v/>
      </c>
    </row>
    <row r="84" spans="1:7" x14ac:dyDescent="0.3">
      <c r="A84" s="36"/>
      <c r="B84" s="36"/>
      <c r="C84" s="37"/>
      <c r="D84" s="38"/>
      <c r="E84" s="39"/>
      <c r="F84" s="39"/>
      <c r="G84" s="16" t="str">
        <f>IF(AND(A84="",D84=""),"",IF(OR(A84="",B84="",C84="",D84=""),"FALTAN DATOS: Estación, Producto, Fecha y Litros son obligatorios",IF(COUNTIFS('Detalle diario'!$A$5:$A$550,A84,'Detalle diario'!$B$5:$B$550,B84,'Detalle diario'!$C$5:$C$550,C84)=0,"NO APLICA: no hay reporte de mermas de esa estación/producto en esa fecha",IF(E84&lt;&gt;"",IF(COUNTIFS('Detalle pipas'!$C$5:$C$281,E84,'Detalle pipas'!$A$5:$A$281,A84,'Detalle pipas'!$B$5:$B$281,B84,'Detalle pipas'!$N$5:$N$281,"NO REGISTRADA*")&gt;0,"APLICADO: registra la factura "&amp;E84,IF(COUNTIFS('Detalle pipas'!$C$5:$C$281,E84,'Detalle pipas'!$A$5:$A$281,A84,'Detalle pipas'!$B$5:$B$281,B84)&gt;0,"OJO: la factura "&amp;E84&amp;" ya estaba registrada; se estaría sumando doble","SIN PIPA: la factura "&amp;E84&amp;" no existe en PIPAS DEL MES para esa estación/producto")),IF(COUNTIFS('Detalle pipas'!$A$5:$A$281,A84,'Detalle pipas'!$B$5:$B$281,B84,'Detalle pipas'!$G$5:$G$281,"&gt;="&amp;(D84-Parámetros!$C$8),'Detalle pipas'!$G$5:$G$281,"&lt;="&amp;(D84+Parámetros!$C$8),'Detalle pipas'!$N$5:$N$281,"NO REGISTRADA*")&gt;0,"APLICADO: registra la pipa de "&amp;TEXT(D84,"#,##0")&amp;" L","SIN PIPA: no hay pipa pendiente con esos litros (revisa litros o pon la factura)")))))</f>
        <v/>
      </c>
    </row>
    <row r="85" spans="1:7" x14ac:dyDescent="0.3">
      <c r="A85" s="36"/>
      <c r="B85" s="36"/>
      <c r="C85" s="37"/>
      <c r="D85" s="38"/>
      <c r="E85" s="39"/>
      <c r="F85" s="39"/>
      <c r="G85" s="16" t="str">
        <f>IF(AND(A85="",D85=""),"",IF(OR(A85="",B85="",C85="",D85=""),"FALTAN DATOS: Estación, Producto, Fecha y Litros son obligatorios",IF(COUNTIFS('Detalle diario'!$A$5:$A$550,A85,'Detalle diario'!$B$5:$B$550,B85,'Detalle diario'!$C$5:$C$550,C85)=0,"NO APLICA: no hay reporte de mermas de esa estación/producto en esa fecha",IF(E85&lt;&gt;"",IF(COUNTIFS('Detalle pipas'!$C$5:$C$281,E85,'Detalle pipas'!$A$5:$A$281,A85,'Detalle pipas'!$B$5:$B$281,B85,'Detalle pipas'!$N$5:$N$281,"NO REGISTRADA*")&gt;0,"APLICADO: registra la factura "&amp;E85,IF(COUNTIFS('Detalle pipas'!$C$5:$C$281,E85,'Detalle pipas'!$A$5:$A$281,A85,'Detalle pipas'!$B$5:$B$281,B85)&gt;0,"OJO: la factura "&amp;E85&amp;" ya estaba registrada; se estaría sumando doble","SIN PIPA: la factura "&amp;E85&amp;" no existe en PIPAS DEL MES para esa estación/producto")),IF(COUNTIFS('Detalle pipas'!$A$5:$A$281,A85,'Detalle pipas'!$B$5:$B$281,B85,'Detalle pipas'!$G$5:$G$281,"&gt;="&amp;(D85-Parámetros!$C$8),'Detalle pipas'!$G$5:$G$281,"&lt;="&amp;(D85+Parámetros!$C$8),'Detalle pipas'!$N$5:$N$281,"NO REGISTRADA*")&gt;0,"APLICADO: registra la pipa de "&amp;TEXT(D85,"#,##0")&amp;" L","SIN PIPA: no hay pipa pendiente con esos litros (revisa litros o pon la factura)")))))</f>
        <v/>
      </c>
    </row>
    <row r="86" spans="1:7" x14ac:dyDescent="0.3">
      <c r="A86" s="36"/>
      <c r="B86" s="36"/>
      <c r="C86" s="37"/>
      <c r="D86" s="38"/>
      <c r="E86" s="39"/>
      <c r="F86" s="39"/>
      <c r="G86" s="16" t="str">
        <f>IF(AND(A86="",D86=""),"",IF(OR(A86="",B86="",C86="",D86=""),"FALTAN DATOS: Estación, Producto, Fecha y Litros son obligatorios",IF(COUNTIFS('Detalle diario'!$A$5:$A$550,A86,'Detalle diario'!$B$5:$B$550,B86,'Detalle diario'!$C$5:$C$550,C86)=0,"NO APLICA: no hay reporte de mermas de esa estación/producto en esa fecha",IF(E86&lt;&gt;"",IF(COUNTIFS('Detalle pipas'!$C$5:$C$281,E86,'Detalle pipas'!$A$5:$A$281,A86,'Detalle pipas'!$B$5:$B$281,B86,'Detalle pipas'!$N$5:$N$281,"NO REGISTRADA*")&gt;0,"APLICADO: registra la factura "&amp;E86,IF(COUNTIFS('Detalle pipas'!$C$5:$C$281,E86,'Detalle pipas'!$A$5:$A$281,A86,'Detalle pipas'!$B$5:$B$281,B86)&gt;0,"OJO: la factura "&amp;E86&amp;" ya estaba registrada; se estaría sumando doble","SIN PIPA: la factura "&amp;E86&amp;" no existe en PIPAS DEL MES para esa estación/producto")),IF(COUNTIFS('Detalle pipas'!$A$5:$A$281,A86,'Detalle pipas'!$B$5:$B$281,B86,'Detalle pipas'!$G$5:$G$281,"&gt;="&amp;(D86-Parámetros!$C$8),'Detalle pipas'!$G$5:$G$281,"&lt;="&amp;(D86+Parámetros!$C$8),'Detalle pipas'!$N$5:$N$281,"NO REGISTRADA*")&gt;0,"APLICADO: registra la pipa de "&amp;TEXT(D86,"#,##0")&amp;" L","SIN PIPA: no hay pipa pendiente con esos litros (revisa litros o pon la factura)")))))</f>
        <v/>
      </c>
    </row>
    <row r="87" spans="1:7" x14ac:dyDescent="0.3">
      <c r="A87" s="36"/>
      <c r="B87" s="36"/>
      <c r="C87" s="37"/>
      <c r="D87" s="38"/>
      <c r="E87" s="39"/>
      <c r="F87" s="39"/>
      <c r="G87" s="16" t="str">
        <f>IF(AND(A87="",D87=""),"",IF(OR(A87="",B87="",C87="",D87=""),"FALTAN DATOS: Estación, Producto, Fecha y Litros son obligatorios",IF(COUNTIFS('Detalle diario'!$A$5:$A$550,A87,'Detalle diario'!$B$5:$B$550,B87,'Detalle diario'!$C$5:$C$550,C87)=0,"NO APLICA: no hay reporte de mermas de esa estación/producto en esa fecha",IF(E87&lt;&gt;"",IF(COUNTIFS('Detalle pipas'!$C$5:$C$281,E87,'Detalle pipas'!$A$5:$A$281,A87,'Detalle pipas'!$B$5:$B$281,B87,'Detalle pipas'!$N$5:$N$281,"NO REGISTRADA*")&gt;0,"APLICADO: registra la factura "&amp;E87,IF(COUNTIFS('Detalle pipas'!$C$5:$C$281,E87,'Detalle pipas'!$A$5:$A$281,A87,'Detalle pipas'!$B$5:$B$281,B87)&gt;0,"OJO: la factura "&amp;E87&amp;" ya estaba registrada; se estaría sumando doble","SIN PIPA: la factura "&amp;E87&amp;" no existe en PIPAS DEL MES para esa estación/producto")),IF(COUNTIFS('Detalle pipas'!$A$5:$A$281,A87,'Detalle pipas'!$B$5:$B$281,B87,'Detalle pipas'!$G$5:$G$281,"&gt;="&amp;(D87-Parámetros!$C$8),'Detalle pipas'!$G$5:$G$281,"&lt;="&amp;(D87+Parámetros!$C$8),'Detalle pipas'!$N$5:$N$281,"NO REGISTRADA*")&gt;0,"APLICADO: registra la pipa de "&amp;TEXT(D87,"#,##0")&amp;" L","SIN PIPA: no hay pipa pendiente con esos litros (revisa litros o pon la factura)")))))</f>
        <v/>
      </c>
    </row>
    <row r="88" spans="1:7" x14ac:dyDescent="0.3">
      <c r="A88" s="36"/>
      <c r="B88" s="36"/>
      <c r="C88" s="37"/>
      <c r="D88" s="38"/>
      <c r="E88" s="39"/>
      <c r="F88" s="39"/>
      <c r="G88" s="16" t="str">
        <f>IF(AND(A88="",D88=""),"",IF(OR(A88="",B88="",C88="",D88=""),"FALTAN DATOS: Estación, Producto, Fecha y Litros son obligatorios",IF(COUNTIFS('Detalle diario'!$A$5:$A$550,A88,'Detalle diario'!$B$5:$B$550,B88,'Detalle diario'!$C$5:$C$550,C88)=0,"NO APLICA: no hay reporte de mermas de esa estación/producto en esa fecha",IF(E88&lt;&gt;"",IF(COUNTIFS('Detalle pipas'!$C$5:$C$281,E88,'Detalle pipas'!$A$5:$A$281,A88,'Detalle pipas'!$B$5:$B$281,B88,'Detalle pipas'!$N$5:$N$281,"NO REGISTRADA*")&gt;0,"APLICADO: registra la factura "&amp;E88,IF(COUNTIFS('Detalle pipas'!$C$5:$C$281,E88,'Detalle pipas'!$A$5:$A$281,A88,'Detalle pipas'!$B$5:$B$281,B88)&gt;0,"OJO: la factura "&amp;E88&amp;" ya estaba registrada; se estaría sumando doble","SIN PIPA: la factura "&amp;E88&amp;" no existe en PIPAS DEL MES para esa estación/producto")),IF(COUNTIFS('Detalle pipas'!$A$5:$A$281,A88,'Detalle pipas'!$B$5:$B$281,B88,'Detalle pipas'!$G$5:$G$281,"&gt;="&amp;(D88-Parámetros!$C$8),'Detalle pipas'!$G$5:$G$281,"&lt;="&amp;(D88+Parámetros!$C$8),'Detalle pipas'!$N$5:$N$281,"NO REGISTRADA*")&gt;0,"APLICADO: registra la pipa de "&amp;TEXT(D88,"#,##0")&amp;" L","SIN PIPA: no hay pipa pendiente con esos litros (revisa litros o pon la factura)")))))</f>
        <v/>
      </c>
    </row>
    <row r="89" spans="1:7" x14ac:dyDescent="0.3">
      <c r="A89" s="36"/>
      <c r="B89" s="36"/>
      <c r="C89" s="37"/>
      <c r="D89" s="38"/>
      <c r="E89" s="39"/>
      <c r="F89" s="39"/>
      <c r="G89" s="16" t="str">
        <f>IF(AND(A89="",D89=""),"",IF(OR(A89="",B89="",C89="",D89=""),"FALTAN DATOS: Estación, Producto, Fecha y Litros son obligatorios",IF(COUNTIFS('Detalle diario'!$A$5:$A$550,A89,'Detalle diario'!$B$5:$B$550,B89,'Detalle diario'!$C$5:$C$550,C89)=0,"NO APLICA: no hay reporte de mermas de esa estación/producto en esa fecha",IF(E89&lt;&gt;"",IF(COUNTIFS('Detalle pipas'!$C$5:$C$281,E89,'Detalle pipas'!$A$5:$A$281,A89,'Detalle pipas'!$B$5:$B$281,B89,'Detalle pipas'!$N$5:$N$281,"NO REGISTRADA*")&gt;0,"APLICADO: registra la factura "&amp;E89,IF(COUNTIFS('Detalle pipas'!$C$5:$C$281,E89,'Detalle pipas'!$A$5:$A$281,A89,'Detalle pipas'!$B$5:$B$281,B89)&gt;0,"OJO: la factura "&amp;E89&amp;" ya estaba registrada; se estaría sumando doble","SIN PIPA: la factura "&amp;E89&amp;" no existe en PIPAS DEL MES para esa estación/producto")),IF(COUNTIFS('Detalle pipas'!$A$5:$A$281,A89,'Detalle pipas'!$B$5:$B$281,B89,'Detalle pipas'!$G$5:$G$281,"&gt;="&amp;(D89-Parámetros!$C$8),'Detalle pipas'!$G$5:$G$281,"&lt;="&amp;(D89+Parámetros!$C$8),'Detalle pipas'!$N$5:$N$281,"NO REGISTRADA*")&gt;0,"APLICADO: registra la pipa de "&amp;TEXT(D89,"#,##0")&amp;" L","SIN PIPA: no hay pipa pendiente con esos litros (revisa litros o pon la factura)")))))</f>
        <v/>
      </c>
    </row>
    <row r="90" spans="1:7" x14ac:dyDescent="0.3">
      <c r="A90" s="36"/>
      <c r="B90" s="36"/>
      <c r="C90" s="37"/>
      <c r="D90" s="38"/>
      <c r="E90" s="39"/>
      <c r="F90" s="39"/>
      <c r="G90" s="16" t="str">
        <f>IF(AND(A90="",D90=""),"",IF(OR(A90="",B90="",C90="",D90=""),"FALTAN DATOS: Estación, Producto, Fecha y Litros son obligatorios",IF(COUNTIFS('Detalle diario'!$A$5:$A$550,A90,'Detalle diario'!$B$5:$B$550,B90,'Detalle diario'!$C$5:$C$550,C90)=0,"NO APLICA: no hay reporte de mermas de esa estación/producto en esa fecha",IF(E90&lt;&gt;"",IF(COUNTIFS('Detalle pipas'!$C$5:$C$281,E90,'Detalle pipas'!$A$5:$A$281,A90,'Detalle pipas'!$B$5:$B$281,B90,'Detalle pipas'!$N$5:$N$281,"NO REGISTRADA*")&gt;0,"APLICADO: registra la factura "&amp;E90,IF(COUNTIFS('Detalle pipas'!$C$5:$C$281,E90,'Detalle pipas'!$A$5:$A$281,A90,'Detalle pipas'!$B$5:$B$281,B90)&gt;0,"OJO: la factura "&amp;E90&amp;" ya estaba registrada; se estaría sumando doble","SIN PIPA: la factura "&amp;E90&amp;" no existe en PIPAS DEL MES para esa estación/producto")),IF(COUNTIFS('Detalle pipas'!$A$5:$A$281,A90,'Detalle pipas'!$B$5:$B$281,B90,'Detalle pipas'!$G$5:$G$281,"&gt;="&amp;(D90-Parámetros!$C$8),'Detalle pipas'!$G$5:$G$281,"&lt;="&amp;(D90+Parámetros!$C$8),'Detalle pipas'!$N$5:$N$281,"NO REGISTRADA*")&gt;0,"APLICADO: registra la pipa de "&amp;TEXT(D90,"#,##0")&amp;" L","SIN PIPA: no hay pipa pendiente con esos litros (revisa litros o pon la factura)")))))</f>
        <v/>
      </c>
    </row>
    <row r="91" spans="1:7" x14ac:dyDescent="0.3">
      <c r="A91" s="36"/>
      <c r="B91" s="36"/>
      <c r="C91" s="37"/>
      <c r="D91" s="38"/>
      <c r="E91" s="39"/>
      <c r="F91" s="39"/>
      <c r="G91" s="16" t="str">
        <f>IF(AND(A91="",D91=""),"",IF(OR(A91="",B91="",C91="",D91=""),"FALTAN DATOS: Estación, Producto, Fecha y Litros son obligatorios",IF(COUNTIFS('Detalle diario'!$A$5:$A$550,A91,'Detalle diario'!$B$5:$B$550,B91,'Detalle diario'!$C$5:$C$550,C91)=0,"NO APLICA: no hay reporte de mermas de esa estación/producto en esa fecha",IF(E91&lt;&gt;"",IF(COUNTIFS('Detalle pipas'!$C$5:$C$281,E91,'Detalle pipas'!$A$5:$A$281,A91,'Detalle pipas'!$B$5:$B$281,B91,'Detalle pipas'!$N$5:$N$281,"NO REGISTRADA*")&gt;0,"APLICADO: registra la factura "&amp;E91,IF(COUNTIFS('Detalle pipas'!$C$5:$C$281,E91,'Detalle pipas'!$A$5:$A$281,A91,'Detalle pipas'!$B$5:$B$281,B91)&gt;0,"OJO: la factura "&amp;E91&amp;" ya estaba registrada; se estaría sumando doble","SIN PIPA: la factura "&amp;E91&amp;" no existe en PIPAS DEL MES para esa estación/producto")),IF(COUNTIFS('Detalle pipas'!$A$5:$A$281,A91,'Detalle pipas'!$B$5:$B$281,B91,'Detalle pipas'!$G$5:$G$281,"&gt;="&amp;(D91-Parámetros!$C$8),'Detalle pipas'!$G$5:$G$281,"&lt;="&amp;(D91+Parámetros!$C$8),'Detalle pipas'!$N$5:$N$281,"NO REGISTRADA*")&gt;0,"APLICADO: registra la pipa de "&amp;TEXT(D91,"#,##0")&amp;" L","SIN PIPA: no hay pipa pendiente con esos litros (revisa litros o pon la factura)")))))</f>
        <v/>
      </c>
    </row>
    <row r="92" spans="1:7" x14ac:dyDescent="0.3">
      <c r="A92" s="36"/>
      <c r="B92" s="36"/>
      <c r="C92" s="37"/>
      <c r="D92" s="38"/>
      <c r="E92" s="39"/>
      <c r="F92" s="39"/>
      <c r="G92" s="16" t="str">
        <f>IF(AND(A92="",D92=""),"",IF(OR(A92="",B92="",C92="",D92=""),"FALTAN DATOS: Estación, Producto, Fecha y Litros son obligatorios",IF(COUNTIFS('Detalle diario'!$A$5:$A$550,A92,'Detalle diario'!$B$5:$B$550,B92,'Detalle diario'!$C$5:$C$550,C92)=0,"NO APLICA: no hay reporte de mermas de esa estación/producto en esa fecha",IF(E92&lt;&gt;"",IF(COUNTIFS('Detalle pipas'!$C$5:$C$281,E92,'Detalle pipas'!$A$5:$A$281,A92,'Detalle pipas'!$B$5:$B$281,B92,'Detalle pipas'!$N$5:$N$281,"NO REGISTRADA*")&gt;0,"APLICADO: registra la factura "&amp;E92,IF(COUNTIFS('Detalle pipas'!$C$5:$C$281,E92,'Detalle pipas'!$A$5:$A$281,A92,'Detalle pipas'!$B$5:$B$281,B92)&gt;0,"OJO: la factura "&amp;E92&amp;" ya estaba registrada; se estaría sumando doble","SIN PIPA: la factura "&amp;E92&amp;" no existe en PIPAS DEL MES para esa estación/producto")),IF(COUNTIFS('Detalle pipas'!$A$5:$A$281,A92,'Detalle pipas'!$B$5:$B$281,B92,'Detalle pipas'!$G$5:$G$281,"&gt;="&amp;(D92-Parámetros!$C$8),'Detalle pipas'!$G$5:$G$281,"&lt;="&amp;(D92+Parámetros!$C$8),'Detalle pipas'!$N$5:$N$281,"NO REGISTRADA*")&gt;0,"APLICADO: registra la pipa de "&amp;TEXT(D92,"#,##0")&amp;" L","SIN PIPA: no hay pipa pendiente con esos litros (revisa litros o pon la factura)")))))</f>
        <v/>
      </c>
    </row>
    <row r="93" spans="1:7" x14ac:dyDescent="0.3">
      <c r="A93" s="36"/>
      <c r="B93" s="36"/>
      <c r="C93" s="37"/>
      <c r="D93" s="38"/>
      <c r="E93" s="39"/>
      <c r="F93" s="39"/>
      <c r="G93" s="16" t="str">
        <f>IF(AND(A93="",D93=""),"",IF(OR(A93="",B93="",C93="",D93=""),"FALTAN DATOS: Estación, Producto, Fecha y Litros son obligatorios",IF(COUNTIFS('Detalle diario'!$A$5:$A$550,A93,'Detalle diario'!$B$5:$B$550,B93,'Detalle diario'!$C$5:$C$550,C93)=0,"NO APLICA: no hay reporte de mermas de esa estación/producto en esa fecha",IF(E93&lt;&gt;"",IF(COUNTIFS('Detalle pipas'!$C$5:$C$281,E93,'Detalle pipas'!$A$5:$A$281,A93,'Detalle pipas'!$B$5:$B$281,B93,'Detalle pipas'!$N$5:$N$281,"NO REGISTRADA*")&gt;0,"APLICADO: registra la factura "&amp;E93,IF(COUNTIFS('Detalle pipas'!$C$5:$C$281,E93,'Detalle pipas'!$A$5:$A$281,A93,'Detalle pipas'!$B$5:$B$281,B93)&gt;0,"OJO: la factura "&amp;E93&amp;" ya estaba registrada; se estaría sumando doble","SIN PIPA: la factura "&amp;E93&amp;" no existe en PIPAS DEL MES para esa estación/producto")),IF(COUNTIFS('Detalle pipas'!$A$5:$A$281,A93,'Detalle pipas'!$B$5:$B$281,B93,'Detalle pipas'!$G$5:$G$281,"&gt;="&amp;(D93-Parámetros!$C$8),'Detalle pipas'!$G$5:$G$281,"&lt;="&amp;(D93+Parámetros!$C$8),'Detalle pipas'!$N$5:$N$281,"NO REGISTRADA*")&gt;0,"APLICADO: registra la pipa de "&amp;TEXT(D93,"#,##0")&amp;" L","SIN PIPA: no hay pipa pendiente con esos litros (revisa litros o pon la factura)")))))</f>
        <v/>
      </c>
    </row>
    <row r="94" spans="1:7" x14ac:dyDescent="0.3">
      <c r="A94" s="36"/>
      <c r="B94" s="36"/>
      <c r="C94" s="37"/>
      <c r="D94" s="38"/>
      <c r="E94" s="39"/>
      <c r="F94" s="39"/>
      <c r="G94" s="16" t="str">
        <f>IF(AND(A94="",D94=""),"",IF(OR(A94="",B94="",C94="",D94=""),"FALTAN DATOS: Estación, Producto, Fecha y Litros son obligatorios",IF(COUNTIFS('Detalle diario'!$A$5:$A$550,A94,'Detalle diario'!$B$5:$B$550,B94,'Detalle diario'!$C$5:$C$550,C94)=0,"NO APLICA: no hay reporte de mermas de esa estación/producto en esa fecha",IF(E94&lt;&gt;"",IF(COUNTIFS('Detalle pipas'!$C$5:$C$281,E94,'Detalle pipas'!$A$5:$A$281,A94,'Detalle pipas'!$B$5:$B$281,B94,'Detalle pipas'!$N$5:$N$281,"NO REGISTRADA*")&gt;0,"APLICADO: registra la factura "&amp;E94,IF(COUNTIFS('Detalle pipas'!$C$5:$C$281,E94,'Detalle pipas'!$A$5:$A$281,A94,'Detalle pipas'!$B$5:$B$281,B94)&gt;0,"OJO: la factura "&amp;E94&amp;" ya estaba registrada; se estaría sumando doble","SIN PIPA: la factura "&amp;E94&amp;" no existe en PIPAS DEL MES para esa estación/producto")),IF(COUNTIFS('Detalle pipas'!$A$5:$A$281,A94,'Detalle pipas'!$B$5:$B$281,B94,'Detalle pipas'!$G$5:$G$281,"&gt;="&amp;(D94-Parámetros!$C$8),'Detalle pipas'!$G$5:$G$281,"&lt;="&amp;(D94+Parámetros!$C$8),'Detalle pipas'!$N$5:$N$281,"NO REGISTRADA*")&gt;0,"APLICADO: registra la pipa de "&amp;TEXT(D94,"#,##0")&amp;" L","SIN PIPA: no hay pipa pendiente con esos litros (revisa litros o pon la factura)")))))</f>
        <v/>
      </c>
    </row>
    <row r="95" spans="1:7" x14ac:dyDescent="0.3">
      <c r="A95" s="36"/>
      <c r="B95" s="36"/>
      <c r="C95" s="37"/>
      <c r="D95" s="38"/>
      <c r="E95" s="39"/>
      <c r="F95" s="39"/>
      <c r="G95" s="16" t="str">
        <f>IF(AND(A95="",D95=""),"",IF(OR(A95="",B95="",C95="",D95=""),"FALTAN DATOS: Estación, Producto, Fecha y Litros son obligatorios",IF(COUNTIFS('Detalle diario'!$A$5:$A$550,A95,'Detalle diario'!$B$5:$B$550,B95,'Detalle diario'!$C$5:$C$550,C95)=0,"NO APLICA: no hay reporte de mermas de esa estación/producto en esa fecha",IF(E95&lt;&gt;"",IF(COUNTIFS('Detalle pipas'!$C$5:$C$281,E95,'Detalle pipas'!$A$5:$A$281,A95,'Detalle pipas'!$B$5:$B$281,B95,'Detalle pipas'!$N$5:$N$281,"NO REGISTRADA*")&gt;0,"APLICADO: registra la factura "&amp;E95,IF(COUNTIFS('Detalle pipas'!$C$5:$C$281,E95,'Detalle pipas'!$A$5:$A$281,A95,'Detalle pipas'!$B$5:$B$281,B95)&gt;0,"OJO: la factura "&amp;E95&amp;" ya estaba registrada; se estaría sumando doble","SIN PIPA: la factura "&amp;E95&amp;" no existe en PIPAS DEL MES para esa estación/producto")),IF(COUNTIFS('Detalle pipas'!$A$5:$A$281,A95,'Detalle pipas'!$B$5:$B$281,B95,'Detalle pipas'!$G$5:$G$281,"&gt;="&amp;(D95-Parámetros!$C$8),'Detalle pipas'!$G$5:$G$281,"&lt;="&amp;(D95+Parámetros!$C$8),'Detalle pipas'!$N$5:$N$281,"NO REGISTRADA*")&gt;0,"APLICADO: registra la pipa de "&amp;TEXT(D95,"#,##0")&amp;" L","SIN PIPA: no hay pipa pendiente con esos litros (revisa litros o pon la factura)")))))</f>
        <v/>
      </c>
    </row>
    <row r="96" spans="1:7" x14ac:dyDescent="0.3">
      <c r="A96" s="36"/>
      <c r="B96" s="36"/>
      <c r="C96" s="37"/>
      <c r="D96" s="38"/>
      <c r="E96" s="39"/>
      <c r="F96" s="39"/>
      <c r="G96" s="16" t="str">
        <f>IF(AND(A96="",D96=""),"",IF(OR(A96="",B96="",C96="",D96=""),"FALTAN DATOS: Estación, Producto, Fecha y Litros son obligatorios",IF(COUNTIFS('Detalle diario'!$A$5:$A$550,A96,'Detalle diario'!$B$5:$B$550,B96,'Detalle diario'!$C$5:$C$550,C96)=0,"NO APLICA: no hay reporte de mermas de esa estación/producto en esa fecha",IF(E96&lt;&gt;"",IF(COUNTIFS('Detalle pipas'!$C$5:$C$281,E96,'Detalle pipas'!$A$5:$A$281,A96,'Detalle pipas'!$B$5:$B$281,B96,'Detalle pipas'!$N$5:$N$281,"NO REGISTRADA*")&gt;0,"APLICADO: registra la factura "&amp;E96,IF(COUNTIFS('Detalle pipas'!$C$5:$C$281,E96,'Detalle pipas'!$A$5:$A$281,A96,'Detalle pipas'!$B$5:$B$281,B96)&gt;0,"OJO: la factura "&amp;E96&amp;" ya estaba registrada; se estaría sumando doble","SIN PIPA: la factura "&amp;E96&amp;" no existe en PIPAS DEL MES para esa estación/producto")),IF(COUNTIFS('Detalle pipas'!$A$5:$A$281,A96,'Detalle pipas'!$B$5:$B$281,B96,'Detalle pipas'!$G$5:$G$281,"&gt;="&amp;(D96-Parámetros!$C$8),'Detalle pipas'!$G$5:$G$281,"&lt;="&amp;(D96+Parámetros!$C$8),'Detalle pipas'!$N$5:$N$281,"NO REGISTRADA*")&gt;0,"APLICADO: registra la pipa de "&amp;TEXT(D96,"#,##0")&amp;" L","SIN PIPA: no hay pipa pendiente con esos litros (revisa litros o pon la factura)")))))</f>
        <v/>
      </c>
    </row>
    <row r="97" spans="1:7" x14ac:dyDescent="0.3">
      <c r="A97" s="36"/>
      <c r="B97" s="36"/>
      <c r="C97" s="37"/>
      <c r="D97" s="38"/>
      <c r="E97" s="39"/>
      <c r="F97" s="39"/>
      <c r="G97" s="16" t="str">
        <f>IF(AND(A97="",D97=""),"",IF(OR(A97="",B97="",C97="",D97=""),"FALTAN DATOS: Estación, Producto, Fecha y Litros son obligatorios",IF(COUNTIFS('Detalle diario'!$A$5:$A$550,A97,'Detalle diario'!$B$5:$B$550,B97,'Detalle diario'!$C$5:$C$550,C97)=0,"NO APLICA: no hay reporte de mermas de esa estación/producto en esa fecha",IF(E97&lt;&gt;"",IF(COUNTIFS('Detalle pipas'!$C$5:$C$281,E97,'Detalle pipas'!$A$5:$A$281,A97,'Detalle pipas'!$B$5:$B$281,B97,'Detalle pipas'!$N$5:$N$281,"NO REGISTRADA*")&gt;0,"APLICADO: registra la factura "&amp;E97,IF(COUNTIFS('Detalle pipas'!$C$5:$C$281,E97,'Detalle pipas'!$A$5:$A$281,A97,'Detalle pipas'!$B$5:$B$281,B97)&gt;0,"OJO: la factura "&amp;E97&amp;" ya estaba registrada; se estaría sumando doble","SIN PIPA: la factura "&amp;E97&amp;" no existe en PIPAS DEL MES para esa estación/producto")),IF(COUNTIFS('Detalle pipas'!$A$5:$A$281,A97,'Detalle pipas'!$B$5:$B$281,B97,'Detalle pipas'!$G$5:$G$281,"&gt;="&amp;(D97-Parámetros!$C$8),'Detalle pipas'!$G$5:$G$281,"&lt;="&amp;(D97+Parámetros!$C$8),'Detalle pipas'!$N$5:$N$281,"NO REGISTRADA*")&gt;0,"APLICADO: registra la pipa de "&amp;TEXT(D97,"#,##0")&amp;" L","SIN PIPA: no hay pipa pendiente con esos litros (revisa litros o pon la factura)")))))</f>
        <v/>
      </c>
    </row>
    <row r="98" spans="1:7" x14ac:dyDescent="0.3">
      <c r="A98" s="36"/>
      <c r="B98" s="36"/>
      <c r="C98" s="37"/>
      <c r="D98" s="38"/>
      <c r="E98" s="39"/>
      <c r="F98" s="39"/>
      <c r="G98" s="16" t="str">
        <f>IF(AND(A98="",D98=""),"",IF(OR(A98="",B98="",C98="",D98=""),"FALTAN DATOS: Estación, Producto, Fecha y Litros son obligatorios",IF(COUNTIFS('Detalle diario'!$A$5:$A$550,A98,'Detalle diario'!$B$5:$B$550,B98,'Detalle diario'!$C$5:$C$550,C98)=0,"NO APLICA: no hay reporte de mermas de esa estación/producto en esa fecha",IF(E98&lt;&gt;"",IF(COUNTIFS('Detalle pipas'!$C$5:$C$281,E98,'Detalle pipas'!$A$5:$A$281,A98,'Detalle pipas'!$B$5:$B$281,B98,'Detalle pipas'!$N$5:$N$281,"NO REGISTRADA*")&gt;0,"APLICADO: registra la factura "&amp;E98,IF(COUNTIFS('Detalle pipas'!$C$5:$C$281,E98,'Detalle pipas'!$A$5:$A$281,A98,'Detalle pipas'!$B$5:$B$281,B98)&gt;0,"OJO: la factura "&amp;E98&amp;" ya estaba registrada; se estaría sumando doble","SIN PIPA: la factura "&amp;E98&amp;" no existe en PIPAS DEL MES para esa estación/producto")),IF(COUNTIFS('Detalle pipas'!$A$5:$A$281,A98,'Detalle pipas'!$B$5:$B$281,B98,'Detalle pipas'!$G$5:$G$281,"&gt;="&amp;(D98-Parámetros!$C$8),'Detalle pipas'!$G$5:$G$281,"&lt;="&amp;(D98+Parámetros!$C$8),'Detalle pipas'!$N$5:$N$281,"NO REGISTRADA*")&gt;0,"APLICADO: registra la pipa de "&amp;TEXT(D98,"#,##0")&amp;" L","SIN PIPA: no hay pipa pendiente con esos litros (revisa litros o pon la factura)")))))</f>
        <v/>
      </c>
    </row>
    <row r="99" spans="1:7" x14ac:dyDescent="0.3">
      <c r="A99" s="36"/>
      <c r="B99" s="36"/>
      <c r="C99" s="37"/>
      <c r="D99" s="38"/>
      <c r="E99" s="39"/>
      <c r="F99" s="39"/>
      <c r="G99" s="16" t="str">
        <f>IF(AND(A99="",D99=""),"",IF(OR(A99="",B99="",C99="",D99=""),"FALTAN DATOS: Estación, Producto, Fecha y Litros son obligatorios",IF(COUNTIFS('Detalle diario'!$A$5:$A$550,A99,'Detalle diario'!$B$5:$B$550,B99,'Detalle diario'!$C$5:$C$550,C99)=0,"NO APLICA: no hay reporte de mermas de esa estación/producto en esa fecha",IF(E99&lt;&gt;"",IF(COUNTIFS('Detalle pipas'!$C$5:$C$281,E99,'Detalle pipas'!$A$5:$A$281,A99,'Detalle pipas'!$B$5:$B$281,B99,'Detalle pipas'!$N$5:$N$281,"NO REGISTRADA*")&gt;0,"APLICADO: registra la factura "&amp;E99,IF(COUNTIFS('Detalle pipas'!$C$5:$C$281,E99,'Detalle pipas'!$A$5:$A$281,A99,'Detalle pipas'!$B$5:$B$281,B99)&gt;0,"OJO: la factura "&amp;E99&amp;" ya estaba registrada; se estaría sumando doble","SIN PIPA: la factura "&amp;E99&amp;" no existe en PIPAS DEL MES para esa estación/producto")),IF(COUNTIFS('Detalle pipas'!$A$5:$A$281,A99,'Detalle pipas'!$B$5:$B$281,B99,'Detalle pipas'!$G$5:$G$281,"&gt;="&amp;(D99-Parámetros!$C$8),'Detalle pipas'!$G$5:$G$281,"&lt;="&amp;(D99+Parámetros!$C$8),'Detalle pipas'!$N$5:$N$281,"NO REGISTRADA*")&gt;0,"APLICADO: registra la pipa de "&amp;TEXT(D99,"#,##0")&amp;" L","SIN PIPA: no hay pipa pendiente con esos litros (revisa litros o pon la factura)")))))</f>
        <v/>
      </c>
    </row>
    <row r="100" spans="1:7" x14ac:dyDescent="0.3">
      <c r="A100" s="36"/>
      <c r="B100" s="36"/>
      <c r="C100" s="37"/>
      <c r="D100" s="38"/>
      <c r="E100" s="39"/>
      <c r="F100" s="39"/>
      <c r="G100" s="16" t="str">
        <f>IF(AND(A100="",D100=""),"",IF(OR(A100="",B100="",C100="",D100=""),"FALTAN DATOS: Estación, Producto, Fecha y Litros son obligatorios",IF(COUNTIFS('Detalle diario'!$A$5:$A$550,A100,'Detalle diario'!$B$5:$B$550,B100,'Detalle diario'!$C$5:$C$550,C100)=0,"NO APLICA: no hay reporte de mermas de esa estación/producto en esa fecha",IF(E100&lt;&gt;"",IF(COUNTIFS('Detalle pipas'!$C$5:$C$281,E100,'Detalle pipas'!$A$5:$A$281,A100,'Detalle pipas'!$B$5:$B$281,B100,'Detalle pipas'!$N$5:$N$281,"NO REGISTRADA*")&gt;0,"APLICADO: registra la factura "&amp;E100,IF(COUNTIFS('Detalle pipas'!$C$5:$C$281,E100,'Detalle pipas'!$A$5:$A$281,A100,'Detalle pipas'!$B$5:$B$281,B100)&gt;0,"OJO: la factura "&amp;E100&amp;" ya estaba registrada; se estaría sumando doble","SIN PIPA: la factura "&amp;E100&amp;" no existe en PIPAS DEL MES para esa estación/producto")),IF(COUNTIFS('Detalle pipas'!$A$5:$A$281,A100,'Detalle pipas'!$B$5:$B$281,B100,'Detalle pipas'!$G$5:$G$281,"&gt;="&amp;(D100-Parámetros!$C$8),'Detalle pipas'!$G$5:$G$281,"&lt;="&amp;(D100+Parámetros!$C$8),'Detalle pipas'!$N$5:$N$281,"NO REGISTRADA*")&gt;0,"APLICADO: registra la pipa de "&amp;TEXT(D100,"#,##0")&amp;" L","SIN PIPA: no hay pipa pendiente con esos litros (revisa litros o pon la factura)")))))</f>
        <v/>
      </c>
    </row>
    <row r="101" spans="1:7" x14ac:dyDescent="0.3">
      <c r="A101" s="36"/>
      <c r="B101" s="36"/>
      <c r="C101" s="37"/>
      <c r="D101" s="38"/>
      <c r="E101" s="39"/>
      <c r="F101" s="39"/>
      <c r="G101" s="16" t="str">
        <f>IF(AND(A101="",D101=""),"",IF(OR(A101="",B101="",C101="",D101=""),"FALTAN DATOS: Estación, Producto, Fecha y Litros son obligatorios",IF(COUNTIFS('Detalle diario'!$A$5:$A$550,A101,'Detalle diario'!$B$5:$B$550,B101,'Detalle diario'!$C$5:$C$550,C101)=0,"NO APLICA: no hay reporte de mermas de esa estación/producto en esa fecha",IF(E101&lt;&gt;"",IF(COUNTIFS('Detalle pipas'!$C$5:$C$281,E101,'Detalle pipas'!$A$5:$A$281,A101,'Detalle pipas'!$B$5:$B$281,B101,'Detalle pipas'!$N$5:$N$281,"NO REGISTRADA*")&gt;0,"APLICADO: registra la factura "&amp;E101,IF(COUNTIFS('Detalle pipas'!$C$5:$C$281,E101,'Detalle pipas'!$A$5:$A$281,A101,'Detalle pipas'!$B$5:$B$281,B101)&gt;0,"OJO: la factura "&amp;E101&amp;" ya estaba registrada; se estaría sumando doble","SIN PIPA: la factura "&amp;E101&amp;" no existe en PIPAS DEL MES para esa estación/producto")),IF(COUNTIFS('Detalle pipas'!$A$5:$A$281,A101,'Detalle pipas'!$B$5:$B$281,B101,'Detalle pipas'!$G$5:$G$281,"&gt;="&amp;(D101-Parámetros!$C$8),'Detalle pipas'!$G$5:$G$281,"&lt;="&amp;(D101+Parámetros!$C$8),'Detalle pipas'!$N$5:$N$281,"NO REGISTRADA*")&gt;0,"APLICADO: registra la pipa de "&amp;TEXT(D101,"#,##0")&amp;" L","SIN PIPA: no hay pipa pendiente con esos litros (revisa litros o pon la factura)")))))</f>
        <v/>
      </c>
    </row>
    <row r="102" spans="1:7" x14ac:dyDescent="0.3">
      <c r="A102" s="36"/>
      <c r="B102" s="36"/>
      <c r="C102" s="37"/>
      <c r="D102" s="38"/>
      <c r="E102" s="39"/>
      <c r="F102" s="39"/>
      <c r="G102" s="16" t="str">
        <f>IF(AND(A102="",D102=""),"",IF(OR(A102="",B102="",C102="",D102=""),"FALTAN DATOS: Estación, Producto, Fecha y Litros son obligatorios",IF(COUNTIFS('Detalle diario'!$A$5:$A$550,A102,'Detalle diario'!$B$5:$B$550,B102,'Detalle diario'!$C$5:$C$550,C102)=0,"NO APLICA: no hay reporte de mermas de esa estación/producto en esa fecha",IF(E102&lt;&gt;"",IF(COUNTIFS('Detalle pipas'!$C$5:$C$281,E102,'Detalle pipas'!$A$5:$A$281,A102,'Detalle pipas'!$B$5:$B$281,B102,'Detalle pipas'!$N$5:$N$281,"NO REGISTRADA*")&gt;0,"APLICADO: registra la factura "&amp;E102,IF(COUNTIFS('Detalle pipas'!$C$5:$C$281,E102,'Detalle pipas'!$A$5:$A$281,A102,'Detalle pipas'!$B$5:$B$281,B102)&gt;0,"OJO: la factura "&amp;E102&amp;" ya estaba registrada; se estaría sumando doble","SIN PIPA: la factura "&amp;E102&amp;" no existe en PIPAS DEL MES para esa estación/producto")),IF(COUNTIFS('Detalle pipas'!$A$5:$A$281,A102,'Detalle pipas'!$B$5:$B$281,B102,'Detalle pipas'!$G$5:$G$281,"&gt;="&amp;(D102-Parámetros!$C$8),'Detalle pipas'!$G$5:$G$281,"&lt;="&amp;(D102+Parámetros!$C$8),'Detalle pipas'!$N$5:$N$281,"NO REGISTRADA*")&gt;0,"APLICADO: registra la pipa de "&amp;TEXT(D102,"#,##0")&amp;" L","SIN PIPA: no hay pipa pendiente con esos litros (revisa litros o pon la factura)")))))</f>
        <v/>
      </c>
    </row>
    <row r="103" spans="1:7" x14ac:dyDescent="0.3">
      <c r="A103" s="36"/>
      <c r="B103" s="36"/>
      <c r="C103" s="37"/>
      <c r="D103" s="38"/>
      <c r="E103" s="39"/>
      <c r="F103" s="39"/>
      <c r="G103" s="16" t="str">
        <f>IF(AND(A103="",D103=""),"",IF(OR(A103="",B103="",C103="",D103=""),"FALTAN DATOS: Estación, Producto, Fecha y Litros son obligatorios",IF(COUNTIFS('Detalle diario'!$A$5:$A$550,A103,'Detalle diario'!$B$5:$B$550,B103,'Detalle diario'!$C$5:$C$550,C103)=0,"NO APLICA: no hay reporte de mermas de esa estación/producto en esa fecha",IF(E103&lt;&gt;"",IF(COUNTIFS('Detalle pipas'!$C$5:$C$281,E103,'Detalle pipas'!$A$5:$A$281,A103,'Detalle pipas'!$B$5:$B$281,B103,'Detalle pipas'!$N$5:$N$281,"NO REGISTRADA*")&gt;0,"APLICADO: registra la factura "&amp;E103,IF(COUNTIFS('Detalle pipas'!$C$5:$C$281,E103,'Detalle pipas'!$A$5:$A$281,A103,'Detalle pipas'!$B$5:$B$281,B103)&gt;0,"OJO: la factura "&amp;E103&amp;" ya estaba registrada; se estaría sumando doble","SIN PIPA: la factura "&amp;E103&amp;" no existe en PIPAS DEL MES para esa estación/producto")),IF(COUNTIFS('Detalle pipas'!$A$5:$A$281,A103,'Detalle pipas'!$B$5:$B$281,B103,'Detalle pipas'!$G$5:$G$281,"&gt;="&amp;(D103-Parámetros!$C$8),'Detalle pipas'!$G$5:$G$281,"&lt;="&amp;(D103+Parámetros!$C$8),'Detalle pipas'!$N$5:$N$281,"NO REGISTRADA*")&gt;0,"APLICADO: registra la pipa de "&amp;TEXT(D103,"#,##0")&amp;" L","SIN PIPA: no hay pipa pendiente con esos litros (revisa litros o pon la factura)")))))</f>
        <v/>
      </c>
    </row>
    <row r="104" spans="1:7" x14ac:dyDescent="0.3">
      <c r="A104" s="36"/>
      <c r="B104" s="36"/>
      <c r="C104" s="37"/>
      <c r="D104" s="38"/>
      <c r="E104" s="39"/>
      <c r="F104" s="39"/>
      <c r="G104" s="16" t="str">
        <f>IF(AND(A104="",D104=""),"",IF(OR(A104="",B104="",C104="",D104=""),"FALTAN DATOS: Estación, Producto, Fecha y Litros son obligatorios",IF(COUNTIFS('Detalle diario'!$A$5:$A$550,A104,'Detalle diario'!$B$5:$B$550,B104,'Detalle diario'!$C$5:$C$550,C104)=0,"NO APLICA: no hay reporte de mermas de esa estación/producto en esa fecha",IF(E104&lt;&gt;"",IF(COUNTIFS('Detalle pipas'!$C$5:$C$281,E104,'Detalle pipas'!$A$5:$A$281,A104,'Detalle pipas'!$B$5:$B$281,B104,'Detalle pipas'!$N$5:$N$281,"NO REGISTRADA*")&gt;0,"APLICADO: registra la factura "&amp;E104,IF(COUNTIFS('Detalle pipas'!$C$5:$C$281,E104,'Detalle pipas'!$A$5:$A$281,A104,'Detalle pipas'!$B$5:$B$281,B104)&gt;0,"OJO: la factura "&amp;E104&amp;" ya estaba registrada; se estaría sumando doble","SIN PIPA: la factura "&amp;E104&amp;" no existe en PIPAS DEL MES para esa estación/producto")),IF(COUNTIFS('Detalle pipas'!$A$5:$A$281,A104,'Detalle pipas'!$B$5:$B$281,B104,'Detalle pipas'!$G$5:$G$281,"&gt;="&amp;(D104-Parámetros!$C$8),'Detalle pipas'!$G$5:$G$281,"&lt;="&amp;(D104+Parámetros!$C$8),'Detalle pipas'!$N$5:$N$281,"NO REGISTRADA*")&gt;0,"APLICADO: registra la pipa de "&amp;TEXT(D104,"#,##0")&amp;" L","SIN PIPA: no hay pipa pendiente con esos litros (revisa litros o pon la factura)")))))</f>
        <v/>
      </c>
    </row>
    <row r="106" spans="1:7" x14ac:dyDescent="0.3">
      <c r="A106" s="14" t="s">
        <v>104</v>
      </c>
    </row>
  </sheetData>
  <conditionalFormatting sqref="G5:G104">
    <cfRule type="expression" dxfId="4" priority="1">
      <formula>ISNUMBER(SEARCH("APLICADO",G5))</formula>
    </cfRule>
    <cfRule type="expression" dxfId="3" priority="2">
      <formula>ISNUMBER(SEARCH("OJO",G5))</formula>
    </cfRule>
    <cfRule type="expression" dxfId="2" priority="3">
      <formula>ISNUMBER(SEARCH("SIN PIPA",G5))</formula>
    </cfRule>
    <cfRule type="expression" dxfId="1" priority="4">
      <formula>ISNUMBER(SEARCH("FALTAN",G5))</formula>
    </cfRule>
    <cfRule type="expression" dxfId="0" priority="5">
      <formula>ISNUMBER(SEARCH("NO APLICA",G5))</formula>
    </cfRule>
  </conditionalFormatting>
  <dataValidations count="4">
    <dataValidation type="list" allowBlank="1" sqref="A5:A104" xr:uid="{00000000-0002-0000-0600-000000000000}">
      <formula1>"ATB,ATP,AVE FENIX,AURORA,COMBULUB,HUEHUETOCA,QL,IXTAZACUALA,TREHER,TH,TOREMEX,TEOLOYUCAN"</formula1>
    </dataValidation>
    <dataValidation type="list" allowBlank="1" sqref="B5:B104" xr:uid="{00000000-0002-0000-0600-000001000000}">
      <formula1>"Regular,Premium,Diesel"</formula1>
    </dataValidation>
    <dataValidation type="date" operator="greaterThan" allowBlank="1" showErrorMessage="1" error="Escribe una fecha dd/mm/aaaa" sqref="C5:C104" xr:uid="{00000000-0002-0000-0600-000002000000}">
      <formula1>40000</formula1>
    </dataValidation>
    <dataValidation type="decimal" operator="greaterThan" allowBlank="1" showErrorMessage="1" error="Litros debe ser mayor a 0" sqref="D5:D104" xr:uid="{00000000-0002-0000-0600-000003000000}">
      <formula1>0</formula1>
    </dataValidation>
  </dataValidation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6A6A6"/>
    <pageSetUpPr fitToPage="1"/>
  </sheetPr>
  <dimension ref="A1:B49"/>
  <sheetViews>
    <sheetView showGridLines="0" workbookViewId="0"/>
  </sheetViews>
  <sheetFormatPr baseColWidth="10" defaultColWidth="8.88671875" defaultRowHeight="14.4" x14ac:dyDescent="0.3"/>
  <cols>
    <col min="1" max="1" width="4" customWidth="1"/>
    <col min="2" max="2" width="130" customWidth="1"/>
  </cols>
  <sheetData>
    <row r="1" spans="1:2" ht="25.95" customHeight="1" x14ac:dyDescent="0.4">
      <c r="A1" s="1" t="s">
        <v>120</v>
      </c>
      <c r="B1" s="2"/>
    </row>
    <row r="2" spans="1:2" x14ac:dyDescent="0.3">
      <c r="A2" s="3" t="s">
        <v>1</v>
      </c>
      <c r="B2" s="2"/>
    </row>
    <row r="4" spans="1:2" x14ac:dyDescent="0.3">
      <c r="A4" s="43" t="s">
        <v>121</v>
      </c>
    </row>
    <row r="5" spans="1:2" x14ac:dyDescent="0.3">
      <c r="B5" s="44" t="s">
        <v>122</v>
      </c>
    </row>
    <row r="6" spans="1:2" ht="26.4" x14ac:dyDescent="0.3">
      <c r="B6" s="44" t="s">
        <v>123</v>
      </c>
    </row>
    <row r="7" spans="1:2" ht="26.4" x14ac:dyDescent="0.3">
      <c r="B7" s="44" t="s">
        <v>124</v>
      </c>
    </row>
    <row r="8" spans="1:2" ht="39.6" x14ac:dyDescent="0.3">
      <c r="B8" s="44" t="s">
        <v>125</v>
      </c>
    </row>
    <row r="9" spans="1:2" x14ac:dyDescent="0.3">
      <c r="B9" s="44" t="s">
        <v>126</v>
      </c>
    </row>
    <row r="10" spans="1:2" x14ac:dyDescent="0.3">
      <c r="B10" s="44" t="s">
        <v>127</v>
      </c>
    </row>
    <row r="11" spans="1:2" ht="39.6" x14ac:dyDescent="0.3">
      <c r="B11" s="44" t="s">
        <v>128</v>
      </c>
    </row>
    <row r="12" spans="1:2" x14ac:dyDescent="0.3">
      <c r="A12" s="43" t="s">
        <v>129</v>
      </c>
    </row>
    <row r="13" spans="1:2" x14ac:dyDescent="0.3">
      <c r="B13" s="44" t="s">
        <v>130</v>
      </c>
    </row>
    <row r="14" spans="1:2" x14ac:dyDescent="0.3">
      <c r="B14" s="44" t="s">
        <v>131</v>
      </c>
    </row>
    <row r="15" spans="1:2" x14ac:dyDescent="0.3">
      <c r="B15" s="44" t="s">
        <v>132</v>
      </c>
    </row>
    <row r="16" spans="1:2" x14ac:dyDescent="0.3">
      <c r="B16" s="44" t="s">
        <v>133</v>
      </c>
    </row>
    <row r="17" spans="1:2" x14ac:dyDescent="0.3">
      <c r="A17" s="43" t="s">
        <v>134</v>
      </c>
    </row>
    <row r="18" spans="1:2" x14ac:dyDescent="0.3">
      <c r="B18" s="44" t="s">
        <v>135</v>
      </c>
    </row>
    <row r="19" spans="1:2" x14ac:dyDescent="0.3">
      <c r="B19" s="44" t="s">
        <v>136</v>
      </c>
    </row>
    <row r="20" spans="1:2" x14ac:dyDescent="0.3">
      <c r="B20" s="44" t="s">
        <v>137</v>
      </c>
    </row>
    <row r="21" spans="1:2" x14ac:dyDescent="0.3">
      <c r="B21" s="44" t="s">
        <v>138</v>
      </c>
    </row>
    <row r="22" spans="1:2" x14ac:dyDescent="0.3">
      <c r="B22" s="44" t="s">
        <v>139</v>
      </c>
    </row>
    <row r="23" spans="1:2" x14ac:dyDescent="0.3">
      <c r="B23" s="44" t="s">
        <v>140</v>
      </c>
    </row>
    <row r="24" spans="1:2" x14ac:dyDescent="0.3">
      <c r="B24" s="44" t="s">
        <v>141</v>
      </c>
    </row>
    <row r="25" spans="1:2" x14ac:dyDescent="0.3">
      <c r="B25" s="44" t="s">
        <v>142</v>
      </c>
    </row>
    <row r="26" spans="1:2" x14ac:dyDescent="0.3">
      <c r="B26" s="44" t="s">
        <v>143</v>
      </c>
    </row>
    <row r="27" spans="1:2" x14ac:dyDescent="0.3">
      <c r="B27" s="44" t="s">
        <v>144</v>
      </c>
    </row>
    <row r="28" spans="1:2" x14ac:dyDescent="0.3">
      <c r="B28" s="44" t="s">
        <v>145</v>
      </c>
    </row>
    <row r="29" spans="1:2" x14ac:dyDescent="0.3">
      <c r="B29" s="44" t="s">
        <v>146</v>
      </c>
    </row>
    <row r="30" spans="1:2" x14ac:dyDescent="0.3">
      <c r="B30" s="44" t="s">
        <v>147</v>
      </c>
    </row>
    <row r="31" spans="1:2" x14ac:dyDescent="0.3">
      <c r="B31" s="44" t="s">
        <v>148</v>
      </c>
    </row>
    <row r="32" spans="1:2" x14ac:dyDescent="0.3">
      <c r="B32" s="44" t="s">
        <v>149</v>
      </c>
    </row>
    <row r="33" spans="1:2" x14ac:dyDescent="0.3">
      <c r="B33" s="44" t="s">
        <v>150</v>
      </c>
    </row>
    <row r="34" spans="1:2" x14ac:dyDescent="0.3">
      <c r="B34" s="44" t="s">
        <v>151</v>
      </c>
    </row>
    <row r="35" spans="1:2" x14ac:dyDescent="0.3">
      <c r="B35" s="44" t="s">
        <v>152</v>
      </c>
    </row>
    <row r="36" spans="1:2" x14ac:dyDescent="0.3">
      <c r="B36" s="44" t="s">
        <v>153</v>
      </c>
    </row>
    <row r="37" spans="1:2" x14ac:dyDescent="0.3">
      <c r="A37" s="43" t="s">
        <v>154</v>
      </c>
    </row>
    <row r="38" spans="1:2" x14ac:dyDescent="0.3">
      <c r="B38" s="44" t="s">
        <v>155</v>
      </c>
    </row>
    <row r="39" spans="1:2" x14ac:dyDescent="0.3">
      <c r="B39" s="44" t="s">
        <v>156</v>
      </c>
    </row>
    <row r="40" spans="1:2" ht="26.4" x14ac:dyDescent="0.3">
      <c r="B40" s="44" t="s">
        <v>157</v>
      </c>
    </row>
    <row r="41" spans="1:2" x14ac:dyDescent="0.3">
      <c r="B41" s="44" t="s">
        <v>158</v>
      </c>
    </row>
    <row r="42" spans="1:2" x14ac:dyDescent="0.3">
      <c r="B42" s="44" t="s">
        <v>159</v>
      </c>
    </row>
    <row r="43" spans="1:2" x14ac:dyDescent="0.3">
      <c r="B43" s="44" t="s">
        <v>160</v>
      </c>
    </row>
    <row r="44" spans="1:2" x14ac:dyDescent="0.3">
      <c r="B44" s="44" t="s">
        <v>161</v>
      </c>
    </row>
    <row r="45" spans="1:2" ht="26.4" x14ac:dyDescent="0.3">
      <c r="B45" s="44" t="s">
        <v>162</v>
      </c>
    </row>
    <row r="46" spans="1:2" x14ac:dyDescent="0.3">
      <c r="B46" s="44" t="s">
        <v>163</v>
      </c>
    </row>
    <row r="47" spans="1:2" ht="26.4" x14ac:dyDescent="0.3">
      <c r="B47" s="44" t="s">
        <v>164</v>
      </c>
    </row>
    <row r="48" spans="1:2" x14ac:dyDescent="0.3">
      <c r="B48" s="44" t="s">
        <v>165</v>
      </c>
    </row>
    <row r="49" spans="2:2" ht="26.4" x14ac:dyDescent="0.3">
      <c r="B49" s="44" t="s">
        <v>166</v>
      </c>
    </row>
  </sheetData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D9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34" customWidth="1"/>
    <col min="3" max="3" width="12" customWidth="1"/>
    <col min="4" max="4" width="70" customWidth="1"/>
  </cols>
  <sheetData>
    <row r="1" spans="1:4" ht="25.95" customHeight="1" x14ac:dyDescent="0.4">
      <c r="A1" s="1" t="s">
        <v>105</v>
      </c>
      <c r="B1" s="2"/>
      <c r="C1" s="2"/>
      <c r="D1" s="2"/>
    </row>
    <row r="2" spans="1:4" x14ac:dyDescent="0.3">
      <c r="A2" s="3" t="s">
        <v>106</v>
      </c>
      <c r="B2" s="2"/>
      <c r="C2" s="2"/>
      <c r="D2" s="2"/>
    </row>
    <row r="4" spans="1:4" ht="31.95" customHeight="1" x14ac:dyDescent="0.3">
      <c r="A4" s="5"/>
      <c r="B4" s="5" t="s">
        <v>107</v>
      </c>
      <c r="C4" s="5" t="s">
        <v>108</v>
      </c>
      <c r="D4" s="5" t="s">
        <v>109</v>
      </c>
    </row>
    <row r="5" spans="1:4" x14ac:dyDescent="0.3">
      <c r="B5" s="6" t="s">
        <v>110</v>
      </c>
      <c r="C5" s="40">
        <v>5.0000000000000001E-3</v>
      </c>
      <c r="D5" s="16" t="s">
        <v>111</v>
      </c>
    </row>
    <row r="6" spans="1:4" x14ac:dyDescent="0.3">
      <c r="B6" s="6" t="s">
        <v>112</v>
      </c>
      <c r="C6" s="40">
        <v>4.0000000000000001E-3</v>
      </c>
      <c r="D6" s="16" t="s">
        <v>113</v>
      </c>
    </row>
    <row r="7" spans="1:4" x14ac:dyDescent="0.3">
      <c r="B7" s="6" t="s">
        <v>114</v>
      </c>
      <c r="C7" s="41">
        <v>2</v>
      </c>
      <c r="D7" s="16" t="s">
        <v>115</v>
      </c>
    </row>
    <row r="8" spans="1:4" x14ac:dyDescent="0.3">
      <c r="B8" s="6" t="s">
        <v>116</v>
      </c>
      <c r="C8" s="41">
        <v>5</v>
      </c>
      <c r="D8" s="16" t="s">
        <v>117</v>
      </c>
    </row>
    <row r="9" spans="1:4" x14ac:dyDescent="0.3">
      <c r="B9" s="6" t="s">
        <v>118</v>
      </c>
      <c r="C9" s="42">
        <v>5000</v>
      </c>
      <c r="D9" s="16" t="s">
        <v>119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Mermas mensual</vt:lpstr>
      <vt:lpstr>Compras sin pipa</vt:lpstr>
      <vt:lpstr>Detalle diario</vt:lpstr>
      <vt:lpstr>Conciliación pipas</vt:lpstr>
      <vt:lpstr>Detalle pipas</vt:lpstr>
      <vt:lpstr>Registros manuales</vt:lpstr>
      <vt:lpstr>Notas</vt:lpstr>
      <vt:lpstr>Parámetros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Reportes Grupo Treher</cp:lastModifiedBy>
  <dcterms:created xsi:type="dcterms:W3CDTF">2026-09-22T17:01:53Z</dcterms:created>
  <dcterms:modified xsi:type="dcterms:W3CDTF">2026-09-22T22:19:08Z</dcterms:modified>
</cp:coreProperties>
</file>